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29040" windowHeight="15720" tabRatio="600" firstSheet="0" activeTab="0" autoFilterDateGrouping="1"/>
  </bookViews>
  <sheets>
    <sheet name="1040" sheetId="1" state="visible" r:id="rId1"/>
    <sheet name="Sch 1 A Ded" sheetId="2" state="visible" r:id="rId2"/>
    <sheet name="SCH C" sheetId="3" state="visible" r:id="rId3"/>
    <sheet name="SCH D" sheetId="4" state="visible" r:id="rId4"/>
    <sheet name="SCH E" sheetId="5" state="visible" r:id="rId5"/>
    <sheet name="SCH F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/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 style="thin">
        <color theme="0" tint="-0.1499984740745262"/>
      </right>
      <top/>
      <bottom style="thin">
        <color theme="0" tint="-0.1499984740745262"/>
      </bottom>
      <diagonal/>
    </border>
  </borders>
  <cellStyleXfs count="2">
    <xf numFmtId="0" fontId="2" fillId="0" borderId="0"/>
    <xf numFmtId="44" fontId="2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164" fontId="0" fillId="0" borderId="0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0" fontId="0" fillId="0" borderId="0" applyAlignment="1" pivotButton="0" quotePrefix="0" xfId="0">
      <alignment horizontal="left" indent="2"/>
    </xf>
    <xf numFmtId="0" fontId="0" fillId="0" borderId="1" pivotButton="0" quotePrefix="0" xfId="0"/>
    <xf numFmtId="0" fontId="0" fillId="3" borderId="0" pivotButton="0" quotePrefix="0" xfId="0"/>
    <xf numFmtId="164" fontId="0" fillId="4" borderId="0" pivotButton="0" quotePrefix="0" xfId="0"/>
    <xf numFmtId="9" fontId="0" fillId="0" borderId="0" pivotButton="0" quotePrefix="0" xfId="0"/>
    <xf numFmtId="164" fontId="0" fillId="0" borderId="2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5" borderId="0" pivotButton="0" quotePrefix="0" xfId="0"/>
    <xf numFmtId="164" fontId="0" fillId="0" borderId="0" pivotButton="0" quotePrefix="0" xfId="1"/>
    <xf numFmtId="0" fontId="1" fillId="6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165" fontId="0" fillId="0" borderId="3" pivotButton="0" quotePrefix="0" xfId="0"/>
    <xf numFmtId="0" fontId="1" fillId="6" borderId="3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3" pivotButton="0" quotePrefix="0" xfId="0"/>
    <xf numFmtId="164" fontId="0" fillId="0" borderId="1" pivotButton="0" quotePrefix="0" xfId="0"/>
    <xf numFmtId="164" fontId="0" fillId="0" borderId="0" pivotButton="0" quotePrefix="0" xfId="1"/>
    <xf numFmtId="164" fontId="0" fillId="4" borderId="0" pivotButton="0" quotePrefix="0" xfId="0"/>
    <xf numFmtId="164" fontId="0" fillId="0" borderId="2" pivotButton="0" quotePrefix="0" xfId="0"/>
    <xf numFmtId="164" fontId="1" fillId="0" borderId="0" pivotButton="0" quotePrefix="0" xfId="0"/>
  </cellXfs>
  <cellStyles count="2">
    <cellStyle name="Normal" xfId="0" builtinId="0"/>
    <cellStyle name="Currency" xfId="1" builtinId="4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ADMIN</author>
  </authors>
  <commentList>
    <comment ref="B25" authorId="0" shapeId="0">
      <text>
        <t xml:space="preserve">ADMIN:
TAXABLE SS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tabSelected="1" topLeftCell="A25" zoomScale="90" zoomScaleNormal="90" workbookViewId="0">
      <selection activeCell="R7" sqref="R7"/>
    </sheetView>
  </sheetViews>
  <sheetFormatPr baseColWidth="10" defaultColWidth="8.83203125" defaultRowHeight="15"/>
  <cols>
    <col width="25.6640625" customWidth="1" style="28" min="1" max="1"/>
    <col width="15.33203125" bestFit="1" customWidth="1" style="30" min="2" max="2"/>
    <col width="15" bestFit="1" customWidth="1" style="28" min="3" max="3"/>
    <col width="12.5" bestFit="1" customWidth="1" style="28" min="4" max="4"/>
    <col width="12.1640625" bestFit="1" customWidth="1" style="28" min="5" max="5"/>
    <col width="12.5" bestFit="1" customWidth="1" style="28" min="6" max="6"/>
    <col width="15.1640625" bestFit="1" customWidth="1" style="28" min="7" max="7"/>
    <col width="20.5" customWidth="1" style="28" min="8" max="8"/>
    <col width="18.5" bestFit="1" customWidth="1" style="28" min="9" max="9"/>
    <col width="12.33203125" bestFit="1" customWidth="1" style="28" min="10" max="10"/>
    <col width="14.33203125" customWidth="1" style="28" min="11" max="11"/>
    <col width="41" bestFit="1" customWidth="1" style="28" min="12" max="12"/>
    <col width="17.6640625" bestFit="1" customWidth="1" style="28" min="15" max="15"/>
    <col width="12.6640625" bestFit="1" customWidth="1" style="28" min="16" max="16"/>
    <col width="19.33203125" bestFit="1" customWidth="1" style="28" min="18" max="18"/>
    <col width="13.33203125" bestFit="1" customWidth="1" style="28" min="19" max="19"/>
  </cols>
  <sheetData>
    <row r="1">
      <c r="A1" s="29" t="inlineStr">
        <is>
          <t>FILING STATUS</t>
        </is>
      </c>
      <c r="G1" s="1" t="inlineStr">
        <is>
          <t>1099's</t>
        </is>
      </c>
      <c r="H1" s="23" t="inlineStr">
        <is>
          <t>Filing Status</t>
        </is>
      </c>
      <c r="I1" s="23" t="inlineStr">
        <is>
          <t>FED STANDARD</t>
        </is>
      </c>
      <c r="J1" s="23" t="n"/>
      <c r="K1" s="23" t="inlineStr">
        <is>
          <t>AL EXCLUSION</t>
        </is>
      </c>
      <c r="L1" s="19" t="n"/>
    </row>
    <row r="2">
      <c r="A2" t="inlineStr">
        <is>
          <t>INCOME</t>
        </is>
      </c>
      <c r="B2" s="30" t="inlineStr">
        <is>
          <t>FED INCOME</t>
        </is>
      </c>
      <c r="C2" t="inlineStr">
        <is>
          <t>AL INCOME</t>
        </is>
      </c>
      <c r="D2" t="inlineStr">
        <is>
          <t>FED WH</t>
        </is>
      </c>
      <c r="E2" t="inlineStr">
        <is>
          <t>AL WH</t>
        </is>
      </c>
      <c r="F2" t="inlineStr">
        <is>
          <t>FICA</t>
        </is>
      </c>
      <c r="H2" s="18" t="b">
        <v>1</v>
      </c>
      <c r="I2" s="18" t="inlineStr">
        <is>
          <t>SINGLE</t>
        </is>
      </c>
      <c r="J2" s="31" t="n">
        <v>15750</v>
      </c>
      <c r="K2" s="18" t="n">
        <v>1500</v>
      </c>
      <c r="L2" s="20" t="n"/>
    </row>
    <row r="3">
      <c r="A3" s="2" t="n"/>
      <c r="B3" t="n">
        <v>12300</v>
      </c>
      <c r="C3" s="30" t="n">
        <v>12300</v>
      </c>
      <c r="D3" s="30" t="n">
        <v>1476</v>
      </c>
      <c r="E3" s="30" t="n">
        <v>553.5</v>
      </c>
      <c r="F3" s="30" t="n">
        <v>940.95</v>
      </c>
      <c r="G3" s="30" t="n">
        <v>8750</v>
      </c>
      <c r="H3" s="18" t="b">
        <v>0</v>
      </c>
      <c r="I3" s="18" t="inlineStr">
        <is>
          <t>MFJ/QSS</t>
        </is>
      </c>
      <c r="J3" s="31" t="n">
        <v>31500</v>
      </c>
      <c r="K3" s="18" t="n">
        <v>3000</v>
      </c>
      <c r="L3" s="21" t="n"/>
    </row>
    <row r="4">
      <c r="B4" t="n">
        <v>68420</v>
      </c>
      <c r="C4" s="30" t="n">
        <v>68420</v>
      </c>
      <c r="D4" s="30" t="n">
        <v>8210.4</v>
      </c>
      <c r="E4" s="30" t="n">
        <v>3079</v>
      </c>
      <c r="F4" s="30" t="n">
        <v>5234.13</v>
      </c>
      <c r="G4" s="30" t="n"/>
      <c r="H4" s="18" t="b">
        <v>0</v>
      </c>
      <c r="I4" s="18" t="inlineStr">
        <is>
          <t>HOH</t>
        </is>
      </c>
      <c r="J4" s="31" t="n">
        <v>23625</v>
      </c>
      <c r="K4" s="18" t="n">
        <v>3000</v>
      </c>
      <c r="R4" s="27" t="inlineStr">
        <is>
          <t>HELPER CELLS DON’T CHANGE</t>
        </is>
      </c>
    </row>
    <row r="5">
      <c r="C5" s="30" t="n"/>
      <c r="D5" s="30" t="n"/>
      <c r="E5" s="30" t="n"/>
      <c r="F5" s="30" t="n"/>
      <c r="G5" s="30" t="n"/>
      <c r="H5" s="18" t="b">
        <v>0</v>
      </c>
      <c r="I5" s="18" t="inlineStr">
        <is>
          <t>MFS</t>
        </is>
      </c>
      <c r="J5" s="31" t="n">
        <v>15750</v>
      </c>
      <c r="K5" s="18" t="n">
        <v>1500</v>
      </c>
      <c r="R5" t="inlineStr">
        <is>
          <t>Total Income w/o SSA</t>
        </is>
      </c>
      <c r="S5" t="inlineStr">
        <is>
          <t>Helper Cells</t>
        </is>
      </c>
    </row>
    <row r="6">
      <c r="C6" s="30" t="n"/>
      <c r="D6" s="30" t="n"/>
      <c r="E6" s="30" t="n"/>
      <c r="F6" s="30" t="n"/>
      <c r="G6" s="30" t="n"/>
      <c r="H6" s="18" t="b">
        <v>0</v>
      </c>
      <c r="I6" s="18" t="inlineStr">
        <is>
          <t>SENIOR Single</t>
        </is>
      </c>
      <c r="J6" s="31" t="n">
        <v>17750</v>
      </c>
      <c r="K6" s="18" t="n">
        <v>1500</v>
      </c>
      <c r="R6" s="30">
        <f>SUM(B9:B24,B27:B40)-B43</f>
        <v/>
      </c>
      <c r="S6" s="30">
        <f>R6 + (A26/2)</f>
        <v/>
      </c>
    </row>
    <row r="7">
      <c r="C7" s="30" t="n"/>
      <c r="D7" s="30" t="n"/>
      <c r="E7" s="30" t="n"/>
      <c r="G7" s="30" t="n"/>
      <c r="H7" s="18" t="b">
        <v>0</v>
      </c>
      <c r="I7" s="18" t="inlineStr">
        <is>
          <t>SENIOR MFJ/QSS</t>
        </is>
      </c>
      <c r="J7" s="31" t="n">
        <v>34700</v>
      </c>
      <c r="K7" s="18" t="n">
        <v>3000</v>
      </c>
      <c r="R7" t="inlineStr">
        <is>
          <t>AL</t>
        </is>
      </c>
      <c r="S7" s="11" t="n">
        <v>0.09</v>
      </c>
    </row>
    <row r="8">
      <c r="B8" s="32" t="n"/>
      <c r="C8" s="32" t="n">
        <v>0</v>
      </c>
      <c r="D8" s="32" t="n"/>
      <c r="E8" s="32" t="n"/>
      <c r="F8" s="32" t="n"/>
      <c r="G8" s="32" t="n"/>
      <c r="H8" s="18" t="b">
        <v>0</v>
      </c>
      <c r="I8" s="18" t="inlineStr">
        <is>
          <t>SENIOR HOH</t>
        </is>
      </c>
      <c r="J8" s="31" t="n">
        <v>25625</v>
      </c>
      <c r="K8" s="18" t="n">
        <v>3000</v>
      </c>
    </row>
    <row r="9">
      <c r="B9" s="30">
        <f>SUM(B3:B8)</f>
        <v/>
      </c>
      <c r="C9" s="30">
        <f>SUM(C3:C8)</f>
        <v/>
      </c>
      <c r="D9" s="30">
        <f>SUM(D3:D8)</f>
        <v/>
      </c>
      <c r="E9" s="30">
        <f>SUM(E3:E8)</f>
        <v/>
      </c>
      <c r="F9" s="30">
        <f>SUM(F3:F8)</f>
        <v/>
      </c>
      <c r="G9" s="30">
        <f>SUM(G2:G8)</f>
        <v/>
      </c>
    </row>
    <row r="10">
      <c r="C10" s="30" t="n"/>
      <c r="D10" s="30" t="n"/>
      <c r="E10" s="30" t="n"/>
      <c r="G10" s="30" t="n"/>
    </row>
    <row r="11">
      <c r="A11" s="2" t="inlineStr">
        <is>
          <t>INTEREST</t>
        </is>
      </c>
      <c r="B11" t="n">
        <v>342.18</v>
      </c>
      <c r="C11" s="30" t="n">
        <v>0</v>
      </c>
      <c r="D11" s="30" t="n"/>
      <c r="E11" s="30" t="n"/>
      <c r="G11" s="30" t="n"/>
    </row>
    <row r="12">
      <c r="A12" s="5" t="n"/>
      <c r="D12" s="30" t="n"/>
      <c r="E12" s="30" t="n"/>
      <c r="G12" s="30" t="n"/>
    </row>
    <row r="13">
      <c r="A13" s="5" t="n"/>
      <c r="D13" s="30" t="n"/>
      <c r="E13" s="30" t="n"/>
      <c r="G13" s="30" t="n"/>
      <c r="H13" s="17" t="inlineStr">
        <is>
          <t>QTY</t>
        </is>
      </c>
      <c r="I13" s="18" t="n"/>
      <c r="J13" s="18" t="n"/>
      <c r="K13" s="18" t="n"/>
    </row>
    <row r="14">
      <c r="A14" s="5" t="n"/>
      <c r="C14" s="30" t="n"/>
      <c r="D14" s="30" t="n"/>
      <c r="E14" s="30" t="n"/>
      <c r="H14" s="18" t="n">
        <v>0</v>
      </c>
      <c r="I14" s="18" t="inlineStr">
        <is>
          <t>Dependent Under 17</t>
        </is>
      </c>
      <c r="J14" s="18">
        <f>H14*2200</f>
        <v/>
      </c>
      <c r="K14" s="18">
        <f>IF(C45&lt;=50000,H14*1000,IF(C45&lt;=100000,H14*500,H14*300))</f>
        <v/>
      </c>
    </row>
    <row r="15">
      <c r="A15" s="5" t="n"/>
      <c r="C15" s="30" t="n"/>
      <c r="D15" s="30" t="n"/>
      <c r="E15" s="30" t="n"/>
      <c r="G15" s="30" t="n"/>
      <c r="H15" s="18" t="n">
        <v>0</v>
      </c>
      <c r="I15" s="18" t="inlineStr">
        <is>
          <t>Dependent Over 17</t>
        </is>
      </c>
      <c r="J15" s="18">
        <f>H15*500</f>
        <v/>
      </c>
      <c r="K15" s="18">
        <f>IF(C45&lt;=50000,H15*1000,IF(C45&lt;=100000,H15*500,H15*300))</f>
        <v/>
      </c>
    </row>
    <row r="16">
      <c r="A16" s="2" t="inlineStr">
        <is>
          <t>DIVIDED</t>
        </is>
      </c>
      <c r="C16" s="30">
        <f>B16</f>
        <v/>
      </c>
      <c r="D16" s="30" t="n"/>
      <c r="E16" s="30" t="n"/>
      <c r="H16" s="18" t="n"/>
      <c r="I16" s="18" t="inlineStr">
        <is>
          <t>Eligible Seniors</t>
        </is>
      </c>
      <c r="J16" s="18" t="n"/>
      <c r="K16" s="18" t="n"/>
    </row>
    <row r="17">
      <c r="A17" s="2" t="n"/>
      <c r="C17" s="30" t="n"/>
      <c r="D17" s="30" t="n"/>
      <c r="E17" s="30" t="n"/>
    </row>
    <row r="18">
      <c r="A18" s="2" t="n"/>
      <c r="C18" s="30" t="n"/>
      <c r="D18" s="30" t="n"/>
      <c r="E18" s="30" t="n"/>
    </row>
    <row r="19">
      <c r="A19" s="2" t="n"/>
      <c r="C19" s="30" t="n"/>
      <c r="D19" s="30" t="n"/>
      <c r="E19" s="30" t="n"/>
      <c r="J19" s="24" t="inlineStr">
        <is>
          <t>AL ONLY</t>
        </is>
      </c>
      <c r="K19" s="24" t="inlineStr">
        <is>
          <t>FED</t>
        </is>
      </c>
      <c r="L19" s="25" t="inlineStr">
        <is>
          <t>ITEMIZED DEDUCTIONS</t>
        </is>
      </c>
    </row>
    <row r="20">
      <c r="A20" s="2" t="inlineStr">
        <is>
          <t>IRA</t>
        </is>
      </c>
      <c r="C20" s="30">
        <f>B20</f>
        <v/>
      </c>
      <c r="D20" s="30" t="n"/>
      <c r="E20" s="30" t="n"/>
      <c r="F20" s="30" t="n"/>
      <c r="G20" t="inlineStr">
        <is>
          <t>AL PENSION ADJ</t>
        </is>
      </c>
      <c r="H20" s="30">
        <f>SUM(B22:B24)</f>
        <v/>
      </c>
      <c r="J20" s="30">
        <f>IF(O23&gt;0,O23,0)</f>
        <v/>
      </c>
      <c r="K20" s="30">
        <f>IF(P23&gt;0,P23,0)</f>
        <v/>
      </c>
      <c r="L20" s="2" t="inlineStr">
        <is>
          <t>MEDICAL</t>
        </is>
      </c>
      <c r="O20" t="inlineStr">
        <is>
          <t>Medical Deduction</t>
        </is>
      </c>
      <c r="P20" t="inlineStr">
        <is>
          <t>Medical Federal</t>
        </is>
      </c>
    </row>
    <row r="21">
      <c r="A21" s="2" t="inlineStr">
        <is>
          <t>401k</t>
        </is>
      </c>
      <c r="C21" s="30">
        <f>B21</f>
        <v/>
      </c>
      <c r="D21" s="30" t="n"/>
      <c r="E21" s="30" t="n"/>
      <c r="G21" t="inlineStr">
        <is>
          <t>AL Ex OT Wages</t>
        </is>
      </c>
      <c r="H21" s="9" t="n"/>
      <c r="K21" s="30" t="n"/>
      <c r="L21" s="2" t="inlineStr">
        <is>
          <t>GENERAL SALES TAX</t>
        </is>
      </c>
      <c r="S21" s="33" t="n"/>
    </row>
    <row r="22">
      <c r="A22" s="2" t="inlineStr">
        <is>
          <t>PENSION</t>
        </is>
      </c>
      <c r="C22" s="30" t="n"/>
      <c r="D22" s="30" t="n"/>
      <c r="E22" s="30" t="n"/>
      <c r="L22" s="2" t="inlineStr">
        <is>
          <t>PROPERTY TAXES</t>
        </is>
      </c>
      <c r="O22" s="32">
        <f>C41*0.04</f>
        <v/>
      </c>
      <c r="P22" s="32">
        <f>B41*0.075</f>
        <v/>
      </c>
      <c r="S22" s="33" t="n"/>
    </row>
    <row r="23">
      <c r="A23" s="2" t="n"/>
      <c r="C23" s="30" t="n"/>
      <c r="D23" s="30" t="n"/>
      <c r="E23" s="30" t="n"/>
      <c r="L23" s="2" t="inlineStr">
        <is>
          <t>VEHICLE CAR TAGS</t>
        </is>
      </c>
      <c r="O23" s="30">
        <f>O21-O22</f>
        <v/>
      </c>
      <c r="P23" s="30">
        <f>O21-P22</f>
        <v/>
      </c>
      <c r="S23" s="33" t="n"/>
    </row>
    <row r="24">
      <c r="A24" s="2" t="n"/>
      <c r="C24" s="30" t="n"/>
      <c r="D24" s="30" t="n"/>
      <c r="E24" s="30" t="n"/>
      <c r="L24" s="2" t="inlineStr">
        <is>
          <t>OTHER TAX</t>
        </is>
      </c>
    </row>
    <row r="25">
      <c r="A25" s="2" t="inlineStr">
        <is>
          <t>SOCIAL SECURITY</t>
        </is>
      </c>
      <c r="B25" s="30">
        <f>MIN(A26*0.85,
 IF(OR(H3,H7,H8),
  IF(S6&lt;=32000,0,
   IF(S6&lt;=44000,(S6-32000)*0.5,6000+(S6-44000)*0.85)),
 IF(OR(H2,H4,H6,H8),
  IF(S6&lt;=25000,0,
   IF(S6&lt;=34000,(S6-25000)*0.5,4500+(S6-34000)*0.85)),
 IF(H5,
  A26*0.85,
  0))))</f>
        <v/>
      </c>
      <c r="C25" s="30" t="n">
        <v>0</v>
      </c>
      <c r="D25" s="30" t="n"/>
      <c r="E25" s="30" t="n"/>
      <c r="L25" s="2" t="inlineStr">
        <is>
          <t>MORTGAGE</t>
        </is>
      </c>
    </row>
    <row r="26">
      <c r="A26" s="30" t="n">
        <v>0</v>
      </c>
      <c r="C26" s="30" t="n"/>
      <c r="D26" s="30" t="n"/>
      <c r="E26" s="30" t="n"/>
      <c r="L26" s="2" t="inlineStr">
        <is>
          <t>CHARITY - CASH</t>
        </is>
      </c>
      <c r="O26" t="inlineStr">
        <is>
          <t>MISC</t>
        </is>
      </c>
    </row>
    <row r="27">
      <c r="A27" s="2" t="inlineStr">
        <is>
          <t>K-1 INCOME</t>
        </is>
      </c>
      <c r="C27" s="30" t="n"/>
      <c r="D27" s="30" t="n"/>
      <c r="E27" s="30" t="n"/>
      <c r="K27" t="n">
        <v>0</v>
      </c>
      <c r="L27" s="2" t="inlineStr">
        <is>
          <t>CHARITY-NONCASH</t>
        </is>
      </c>
    </row>
    <row r="28">
      <c r="A28" s="2" t="n"/>
      <c r="C28" s="30" t="n"/>
      <c r="D28" s="30" t="n"/>
      <c r="E28" s="30" t="n"/>
      <c r="J28" s="30">
        <f>IF(O29&gt;0,O29,0)</f>
        <v/>
      </c>
      <c r="L28" s="2" t="inlineStr">
        <is>
          <t>MISC</t>
        </is>
      </c>
      <c r="O28" s="32">
        <f>C41*0.02</f>
        <v/>
      </c>
    </row>
    <row r="29">
      <c r="A29" s="2" t="n"/>
      <c r="C29" s="30" t="n"/>
      <c r="D29" s="30" t="n"/>
      <c r="E29" s="30" t="n"/>
      <c r="L29" s="2" t="inlineStr">
        <is>
          <t>LOCAL TAX</t>
        </is>
      </c>
      <c r="O29" s="30">
        <f>O27-O28</f>
        <v/>
      </c>
    </row>
    <row r="30">
      <c r="A30" s="2" t="inlineStr">
        <is>
          <t>OTHER</t>
        </is>
      </c>
      <c r="C30" s="30" t="n"/>
      <c r="D30" s="30" t="n"/>
      <c r="E30" s="30" t="n"/>
      <c r="J30" s="30">
        <f>F9</f>
        <v/>
      </c>
      <c r="L30" t="inlineStr">
        <is>
          <t>FICA</t>
        </is>
      </c>
    </row>
    <row r="31">
      <c r="A31" s="2" t="inlineStr">
        <is>
          <t>w2g</t>
        </is>
      </c>
      <c r="C31" s="30" t="n"/>
      <c r="D31" s="30" t="n"/>
      <c r="E31" s="30" t="n"/>
      <c r="K31" s="8" t="n"/>
      <c r="L31" t="inlineStr">
        <is>
          <t>PRIOR YEAR SE TAX</t>
        </is>
      </c>
    </row>
    <row r="32">
      <c r="A32" s="2" t="n"/>
      <c r="C32" s="30" t="n"/>
      <c r="D32" s="30" t="n"/>
      <c r="E32" s="30" t="n"/>
      <c r="K32" s="30">
        <f>J30+K31+J20+K29+J28+K27+K26+K25+K24+K23+K22</f>
        <v/>
      </c>
      <c r="L32" t="inlineStr">
        <is>
          <t>Total AL Itemized Deductions</t>
        </is>
      </c>
    </row>
    <row r="33">
      <c r="A33" s="2" t="n"/>
      <c r="C33" s="30" t="n"/>
      <c r="D33" s="30" t="n"/>
      <c r="E33" s="30" t="n"/>
      <c r="K33" s="30">
        <f>SUM(K20:K27)</f>
        <v/>
      </c>
      <c r="L33" t="inlineStr">
        <is>
          <t>Total Fed Itemized Deductions</t>
        </is>
      </c>
    </row>
    <row r="34">
      <c r="A34" s="2" t="n"/>
      <c r="B34" s="32" t="n"/>
      <c r="C34" s="32" t="n"/>
      <c r="D34" s="30" t="n"/>
      <c r="E34" s="30" t="n"/>
    </row>
    <row r="35">
      <c r="A35" s="2" t="n"/>
      <c r="C35" s="30" t="n"/>
      <c r="E35" s="30" t="n"/>
    </row>
    <row r="36">
      <c r="A36" s="2" t="inlineStr">
        <is>
          <t>CAPITAL GAIN/LOSS</t>
        </is>
      </c>
      <c r="B36" s="30">
        <f>'SCH D'!E32</f>
        <v/>
      </c>
      <c r="C36" s="30">
        <f>B36</f>
        <v/>
      </c>
      <c r="D36" s="30" t="n"/>
      <c r="E36" s="30" t="n"/>
    </row>
    <row r="37">
      <c r="A37" s="2" t="n"/>
      <c r="C37" s="30" t="n"/>
      <c r="D37" s="30" t="n"/>
      <c r="E37" s="30" t="n"/>
    </row>
    <row r="38">
      <c r="A38" s="2" t="inlineStr">
        <is>
          <t>SCH C</t>
        </is>
      </c>
      <c r="B38" s="30">
        <f>'SCH C'!B27</f>
        <v/>
      </c>
      <c r="C38" s="30">
        <f>'SCH C'!B27</f>
        <v/>
      </c>
      <c r="D38" s="30" t="n"/>
      <c r="E38" s="30" t="n"/>
    </row>
    <row r="39">
      <c r="A39" s="2" t="inlineStr">
        <is>
          <t>SCH F</t>
        </is>
      </c>
      <c r="C39" s="30" t="n"/>
      <c r="D39" s="30" t="n"/>
      <c r="E39" s="30" t="n"/>
    </row>
    <row r="40">
      <c r="A40" s="2" t="inlineStr">
        <is>
          <t xml:space="preserve">SCH E </t>
        </is>
      </c>
      <c r="B40" s="32">
        <f>'SCH E'!B23</f>
        <v/>
      </c>
      <c r="C40" s="32">
        <f>'SCH E'!B23</f>
        <v/>
      </c>
      <c r="D40" s="30" t="n"/>
      <c r="E40" s="30" t="n"/>
    </row>
    <row r="41">
      <c r="A41" s="5" t="inlineStr">
        <is>
          <t>TOTAL INCOME</t>
        </is>
      </c>
      <c r="B41" s="30">
        <f>SUM(B9:B40)</f>
        <v/>
      </c>
      <c r="C41" s="30">
        <f>SUM(C9:C40)</f>
        <v/>
      </c>
      <c r="D41" s="30" t="n"/>
      <c r="E41" s="30" t="n"/>
    </row>
    <row r="42">
      <c r="A42" s="5" t="n"/>
      <c r="C42" s="30" t="n"/>
      <c r="D42" s="30" t="n"/>
      <c r="E42" s="30" t="n"/>
      <c r="L42" s="29" t="inlineStr">
        <is>
          <t>AL Adjustments to Income</t>
        </is>
      </c>
      <c r="M42" s="15" t="n"/>
    </row>
    <row r="43">
      <c r="A43" s="5" t="inlineStr">
        <is>
          <t>Adjustments</t>
        </is>
      </c>
      <c r="C43" s="30">
        <f>M43</f>
        <v/>
      </c>
      <c r="D43" s="30" t="n"/>
      <c r="E43" s="30" t="n"/>
      <c r="L43" t="inlineStr">
        <is>
          <t>Contribution to 529 Plan</t>
        </is>
      </c>
      <c r="M43">
        <f>SUM(M42)</f>
        <v/>
      </c>
    </row>
    <row r="44">
      <c r="A44" s="5" t="n"/>
      <c r="C44" s="30" t="n"/>
      <c r="D44" s="30" t="n"/>
      <c r="E44" s="30" t="n"/>
    </row>
    <row r="45">
      <c r="A45" s="5" t="inlineStr">
        <is>
          <t>Adjusted Gross Income</t>
        </is>
      </c>
      <c r="B45" s="30">
        <f>B41-B43</f>
        <v/>
      </c>
      <c r="C45" s="30">
        <f>C41-C43</f>
        <v/>
      </c>
      <c r="D45" s="30" t="n"/>
      <c r="E45" s="30" t="n"/>
    </row>
    <row r="46">
      <c r="A46" s="5" t="n"/>
      <c r="C46" s="30" t="n"/>
      <c r="D46" s="30" t="n"/>
      <c r="E46" s="30" t="n"/>
    </row>
    <row r="47">
      <c r="A47" s="5" t="inlineStr">
        <is>
          <t xml:space="preserve">Deductions </t>
        </is>
      </c>
      <c r="C47" s="30" t="n"/>
      <c r="D47" s="30" t="n"/>
      <c r="E47" s="30" t="n"/>
      <c r="F47" s="6" t="n"/>
    </row>
    <row r="48">
      <c r="A48" s="7" t="inlineStr">
        <is>
          <t>STANDARD</t>
        </is>
      </c>
      <c r="B48" s="30">
        <f>SUMIF(H2:H7,TRUE,J2:J7)</f>
        <v/>
      </c>
      <c r="C48" s="30" t="n"/>
      <c r="D48" s="30" t="n"/>
      <c r="E48" s="30" t="n"/>
      <c r="F48" s="6" t="n"/>
    </row>
    <row r="49">
      <c r="A49" s="7" t="inlineStr">
        <is>
          <t>ITEMIZED</t>
        </is>
      </c>
      <c r="C49" s="30">
        <f>K32</f>
        <v/>
      </c>
      <c r="D49" s="30" t="n"/>
      <c r="E49" s="30" t="n"/>
    </row>
    <row r="50">
      <c r="A50" s="7" t="inlineStr">
        <is>
          <t>AL - Fed Tax deduction</t>
        </is>
      </c>
      <c r="B50" s="34" t="n"/>
      <c r="C50" s="30" t="n"/>
      <c r="D50" s="30" t="n"/>
      <c r="E50" s="30" t="n"/>
    </row>
    <row r="51">
      <c r="A51" s="7" t="inlineStr">
        <is>
          <t>AL Personal Exemption</t>
        </is>
      </c>
      <c r="B51" s="34" t="n"/>
      <c r="C51" s="30">
        <f>SUMIF(H2:H8,TRUE,K2:K8)</f>
        <v/>
      </c>
      <c r="D51" s="30" t="n"/>
      <c r="E51" s="30" t="n"/>
    </row>
    <row r="52">
      <c r="A52" s="7" t="inlineStr">
        <is>
          <t>AL Dependent Exemption</t>
        </is>
      </c>
      <c r="B52" s="34" t="n"/>
      <c r="C52" s="30">
        <f>K14+K15</f>
        <v/>
      </c>
      <c r="D52" s="30" t="n"/>
      <c r="E52" s="30" t="n"/>
    </row>
    <row r="53">
      <c r="A53" s="7" t="inlineStr">
        <is>
          <t>QBI DEDUCTION</t>
        </is>
      </c>
      <c r="C53" s="30" t="n"/>
      <c r="D53" s="30" t="n"/>
      <c r="E53" s="30" t="n"/>
    </row>
    <row r="54">
      <c r="A54" s="7" t="inlineStr">
        <is>
          <t>Add Ded-Sch 1-A</t>
        </is>
      </c>
      <c r="B54" s="32">
        <f>'Sch 1 A Ded'!B11</f>
        <v/>
      </c>
      <c r="C54" s="32" t="n"/>
      <c r="D54" s="30" t="n"/>
      <c r="E54" s="30" t="n"/>
    </row>
    <row r="55">
      <c r="A55" t="inlineStr">
        <is>
          <t>Deduction Total</t>
        </is>
      </c>
      <c r="B55" s="35">
        <f>SUM(B48:B54)</f>
        <v/>
      </c>
      <c r="C55" s="35">
        <f>SUM(C48:C54)</f>
        <v/>
      </c>
      <c r="D55" s="30" t="n"/>
      <c r="E55" s="30" t="n"/>
    </row>
    <row r="56">
      <c r="A56" s="5" t="inlineStr">
        <is>
          <t>TAXABLE INCOME</t>
        </is>
      </c>
      <c r="B56" s="36">
        <f>B45-B48-B49-B54-B53</f>
        <v/>
      </c>
      <c r="C56" s="36">
        <f>C45-C48-C49-C54-C50-C51-C53-C52</f>
        <v/>
      </c>
      <c r="D56" s="32" t="n"/>
      <c r="E56" s="32" t="n"/>
    </row>
    <row r="57">
      <c r="A57" t="inlineStr">
        <is>
          <t>FEDERAL TAX (Line 16)</t>
        </is>
      </c>
      <c r="B57">
        <f>IF(B56&lt;=0,0,IF(H3,IF(B56&lt;=23850,ROUND(B56*0.1,0),IF(B56&lt;=96950,ROUND(2385+(B56-23850)*0.12,0),IF(B56&lt;=206700,ROUND(11157+(B56-96950)*0.22,0),IF(B56&lt;=394600,ROUND(35302+(B56-206700)*0.24,0),IF(B56&lt;=501050,ROUND(80398+(B56-394600)*0.32,0),IF(B56&lt;=751600,ROUND(114462+(B56-501050)*0.35,0),ROUND(202154.5+(B56-751600)*0.37,0))))))),IF(H4,IF(B56&lt;=17000,ROUND(B56*0.1,0),IF(B56&lt;=64850,ROUND(1700+(B56-17000)*0.12,0),IF(B56&lt;=103350,ROUND(7442+(B56-64850)*0.22,0),IF(B56&lt;=197300,ROUND(15912+(B56-103350)*0.24,0),IF(B56&lt;=250500,ROUND(38460+(B56-197300)*0.32,0),IF(B56&lt;=626350,ROUND(55484+(B56-250500)*0.35,0),ROUND(187031.5+(B56-626350)*0.37,0))))))),IF(B56&lt;=11925,ROUND(B56*0.1,0),IF(B56&lt;=48475,ROUND(1192.5+(B56-11925)*0.12,0),IF(B56&lt;=103350,ROUND(5578.5+(B56-48475)*0.22,0),IF(B56&lt;=197300,ROUND(17651+(B56-103350)*0.24,0),IF(B56&lt;=250525,ROUND(40199+(B56-197300)*0.32,0),IF(B56&lt;=626350,ROUND(57231+(B56-250525)*0.35,0),ROUND(188769.75+(B56-626350)*0.37,0))))))))))</f>
        <v/>
      </c>
      <c r="C57" s="30" t="n"/>
      <c r="D57" s="30">
        <f>SUM(D9:D54)</f>
        <v/>
      </c>
      <c r="E57" s="30">
        <f>SUM(E9:E54)</f>
        <v/>
      </c>
      <c r="G57" s="30" t="n"/>
    </row>
    <row r="58">
      <c r="A58" s="7" t="inlineStr">
        <is>
          <t>CHILD TAX CREDIT</t>
        </is>
      </c>
      <c r="B58" s="30">
        <f>J14+J15</f>
        <v/>
      </c>
      <c r="G58" s="32">
        <f>E49+E53</f>
        <v/>
      </c>
    </row>
    <row r="59">
      <c r="A59" s="7" t="inlineStr">
        <is>
          <t>EDUCATION CREDIT</t>
        </is>
      </c>
      <c r="G59" s="30" t="n"/>
    </row>
    <row r="60">
      <c r="A60" s="7" t="inlineStr">
        <is>
          <t>FOREIGN TAX CREDIT</t>
        </is>
      </c>
      <c r="G60" s="30">
        <f>G57-G58</f>
        <v/>
      </c>
    </row>
    <row r="61">
      <c r="A61" s="7" t="inlineStr">
        <is>
          <t>DEPENDENT CARE</t>
        </is>
      </c>
      <c r="B61" s="32" t="n"/>
    </row>
    <row r="62">
      <c r="A62" s="5" t="inlineStr">
        <is>
          <t>LINE 21</t>
        </is>
      </c>
      <c r="B62" s="30">
        <f>B58+B60+B61+B59</f>
        <v/>
      </c>
    </row>
  </sheetData>
  <mergeCells count="1">
    <mergeCell ref="R4:S4"/>
  </mergeCells>
  <conditionalFormatting sqref="K33">
    <cfRule type="expression" priority="1" dxfId="0">
      <formula>K33&gt;$B$48</formula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B8" sqref="B8"/>
    </sheetView>
  </sheetViews>
  <sheetFormatPr baseColWidth="10" defaultColWidth="8.83203125" defaultRowHeight="15"/>
  <cols>
    <col width="17.6640625" bestFit="1" customWidth="1" style="28" min="1" max="1"/>
    <col width="11.5" bestFit="1" customWidth="1" style="28" min="2" max="2"/>
    <col width="11.6640625" bestFit="1" customWidth="1" style="28" min="3" max="3"/>
    <col width="18" bestFit="1" customWidth="1" style="28" min="5" max="5"/>
  </cols>
  <sheetData>
    <row r="1">
      <c r="A1" t="inlineStr">
        <is>
          <t>Modified AGI</t>
        </is>
      </c>
      <c r="B1" s="30">
        <f>'1040'!B41</f>
        <v/>
      </c>
    </row>
    <row r="5">
      <c r="A5" t="inlineStr">
        <is>
          <t>Qualified Tips</t>
        </is>
      </c>
      <c r="C5" t="inlineStr">
        <is>
          <t>On W2</t>
        </is>
      </c>
      <c r="E5" t="inlineStr">
        <is>
          <t>On other documets</t>
        </is>
      </c>
    </row>
    <row r="6">
      <c r="A6" t="inlineStr">
        <is>
          <t>Qualified Overtime</t>
        </is>
      </c>
      <c r="C6" t="inlineStr">
        <is>
          <t>On W2</t>
        </is>
      </c>
      <c r="E6" t="inlineStr">
        <is>
          <t>On Last Pay Stub</t>
        </is>
      </c>
    </row>
    <row r="7">
      <c r="A7" t="inlineStr">
        <is>
          <t>Car Loan Interest</t>
        </is>
      </c>
    </row>
    <row r="8">
      <c r="A8" t="inlineStr">
        <is>
          <t>Senior Deduction</t>
        </is>
      </c>
      <c r="B8">
        <f>IF(IFERROR(VALUE('1040'!H16),0)&gt;0,
  MAX(6000*IFERROR(VALUE('1040'!H16),0) - 0.06*MAX(B1-IF('1040'!H8&lt;&gt;"",150000,75000),0),0),
0)</f>
        <v/>
      </c>
    </row>
    <row r="11">
      <c r="B11">
        <f>SUM(B5:B8)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B29"/>
  <sheetViews>
    <sheetView topLeftCell="A7" workbookViewId="0">
      <selection activeCell="A30" sqref="A30"/>
    </sheetView>
  </sheetViews>
  <sheetFormatPr baseColWidth="10" defaultColWidth="8.83203125" defaultRowHeight="15"/>
  <cols>
    <col width="19" bestFit="1" customWidth="1" style="28" min="1" max="1"/>
  </cols>
  <sheetData>
    <row r="3">
      <c r="A3" t="inlineStr">
        <is>
          <t>INCOME</t>
        </is>
      </c>
      <c r="B3" t="n">
        <v>8750</v>
      </c>
    </row>
    <row r="6">
      <c r="A6" t="inlineStr">
        <is>
          <t>EXPENSES</t>
        </is>
      </c>
    </row>
    <row r="7">
      <c r="A7" s="2" t="inlineStr">
        <is>
          <t>Advertising</t>
        </is>
      </c>
    </row>
    <row r="8">
      <c r="A8" s="2" t="inlineStr">
        <is>
          <t>Auto</t>
        </is>
      </c>
    </row>
    <row r="9">
      <c r="A9" s="2" t="inlineStr">
        <is>
          <t>Commissions</t>
        </is>
      </c>
    </row>
    <row r="10">
      <c r="A10" s="2" t="inlineStr">
        <is>
          <t>Contract Labor</t>
        </is>
      </c>
    </row>
    <row r="11">
      <c r="A11" s="2" t="inlineStr">
        <is>
          <t>Depreciation</t>
        </is>
      </c>
    </row>
    <row r="12" ht="18" customHeight="1" s="28">
      <c r="A12" s="2" t="inlineStr">
        <is>
          <t>Insurance</t>
        </is>
      </c>
    </row>
    <row r="13" ht="18" customHeight="1" s="28">
      <c r="A13" s="2" t="inlineStr">
        <is>
          <t>Interest</t>
        </is>
      </c>
    </row>
    <row r="14">
      <c r="A14" s="2" t="inlineStr">
        <is>
          <t>Legal/Professional</t>
        </is>
      </c>
    </row>
    <row r="15">
      <c r="A15" s="2" t="inlineStr">
        <is>
          <t>Office</t>
        </is>
      </c>
    </row>
    <row r="16">
      <c r="A16" s="2" t="inlineStr">
        <is>
          <t>Rent</t>
        </is>
      </c>
    </row>
    <row r="17">
      <c r="A17" s="2" t="inlineStr">
        <is>
          <t>Repairs</t>
        </is>
      </c>
    </row>
    <row r="18">
      <c r="A18" s="2" t="inlineStr">
        <is>
          <t>Supplies</t>
        </is>
      </c>
    </row>
    <row r="19">
      <c r="A19" s="2" t="inlineStr">
        <is>
          <t>Taxes/Licenses</t>
        </is>
      </c>
    </row>
    <row r="20">
      <c r="A20" s="2" t="inlineStr">
        <is>
          <t>Travel</t>
        </is>
      </c>
    </row>
    <row r="21">
      <c r="A21" s="2" t="inlineStr">
        <is>
          <t>Meals</t>
        </is>
      </c>
    </row>
    <row r="22">
      <c r="A22" s="2" t="inlineStr">
        <is>
          <t>Utilities</t>
        </is>
      </c>
    </row>
    <row r="23">
      <c r="A23" s="2" t="inlineStr">
        <is>
          <t>Other</t>
        </is>
      </c>
    </row>
    <row r="24">
      <c r="A24" s="2" t="inlineStr">
        <is>
          <t>Home Office</t>
        </is>
      </c>
    </row>
    <row r="25">
      <c r="A25" s="5" t="inlineStr">
        <is>
          <t xml:space="preserve">TOTAL </t>
        </is>
      </c>
      <c r="B25">
        <f>SUM(B7:B24)</f>
        <v/>
      </c>
    </row>
    <row r="27">
      <c r="A27" s="2" t="inlineStr">
        <is>
          <t>Profit/Loss</t>
        </is>
      </c>
      <c r="B27">
        <f>B3-B25</f>
        <v/>
      </c>
    </row>
    <row r="29">
      <c r="A29" t="inlineStr">
        <is>
          <t>Tips Deduction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topLeftCell="A10" workbookViewId="0">
      <selection activeCell="E32" sqref="E32"/>
    </sheetView>
  </sheetViews>
  <sheetFormatPr baseColWidth="10" defaultColWidth="8.83203125" defaultRowHeight="15"/>
  <cols>
    <col width="12.33203125" bestFit="1" customWidth="1" style="28" min="1" max="1"/>
    <col width="12" bestFit="1" customWidth="1" style="28" min="2" max="2"/>
  </cols>
  <sheetData>
    <row r="1">
      <c r="B1" s="29" t="inlineStr">
        <is>
          <t>SHORT TERM</t>
        </is>
      </c>
    </row>
    <row r="2">
      <c r="A2" t="inlineStr">
        <is>
          <t>ACCT NAME</t>
        </is>
      </c>
      <c r="B2" t="inlineStr">
        <is>
          <t>PROCEEDS</t>
        </is>
      </c>
      <c r="C2" t="inlineStr">
        <is>
          <t>BASIS</t>
        </is>
      </c>
      <c r="D2" t="inlineStr">
        <is>
          <t>WASH</t>
        </is>
      </c>
      <c r="E2" t="inlineStr">
        <is>
          <t>GAIN/LOSS</t>
        </is>
      </c>
    </row>
    <row r="3">
      <c r="E3">
        <f>B3-C3+D3</f>
        <v/>
      </c>
    </row>
    <row r="16">
      <c r="B16" s="29" t="inlineStr">
        <is>
          <t>LONG TERM</t>
        </is>
      </c>
    </row>
    <row r="17">
      <c r="A17" t="inlineStr">
        <is>
          <t>ACCT NAME</t>
        </is>
      </c>
      <c r="B17" t="inlineStr">
        <is>
          <t>PROCEEDS</t>
        </is>
      </c>
      <c r="C17" t="inlineStr">
        <is>
          <t>BASIS</t>
        </is>
      </c>
      <c r="D17" t="inlineStr">
        <is>
          <t>WASH</t>
        </is>
      </c>
      <c r="E17" t="inlineStr">
        <is>
          <t>GAIN/LOSS</t>
        </is>
      </c>
    </row>
    <row r="18">
      <c r="E18">
        <f>B18-C18</f>
        <v/>
      </c>
    </row>
    <row r="26">
      <c r="A26" t="inlineStr">
        <is>
          <t>Total Stock Transactions</t>
        </is>
      </c>
      <c r="E26" s="9">
        <f>E18+E3</f>
        <v/>
      </c>
    </row>
    <row r="27">
      <c r="E27" s="26" t="n"/>
    </row>
    <row r="28">
      <c r="A28" s="29" t="inlineStr">
        <is>
          <t>Other Capital Gain Distributions</t>
        </is>
      </c>
    </row>
    <row r="29">
      <c r="E29" s="26" t="n"/>
    </row>
    <row r="31">
      <c r="E31" s="9">
        <f>SUM(E29:E30)</f>
        <v/>
      </c>
    </row>
    <row r="32">
      <c r="A32" t="inlineStr">
        <is>
          <t>Total Gain/Loss</t>
        </is>
      </c>
      <c r="E32">
        <f>E26+E31</f>
        <v/>
      </c>
    </row>
  </sheetData>
  <mergeCells count="1">
    <mergeCell ref="A28:C2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23"/>
  <sheetViews>
    <sheetView workbookViewId="0">
      <selection activeCell="E37" sqref="E37"/>
    </sheetView>
  </sheetViews>
  <sheetFormatPr baseColWidth="10" defaultColWidth="8.83203125" defaultRowHeight="15"/>
  <cols>
    <col width="19" bestFit="1" customWidth="1" style="28" min="1" max="1"/>
  </cols>
  <sheetData>
    <row r="3">
      <c r="A3" t="inlineStr">
        <is>
          <t>INCOME</t>
        </is>
      </c>
    </row>
    <row r="6">
      <c r="A6" t="inlineStr">
        <is>
          <t>EXPENSES</t>
        </is>
      </c>
    </row>
    <row r="7">
      <c r="A7" s="2" t="inlineStr">
        <is>
          <t>Auto</t>
        </is>
      </c>
    </row>
    <row r="8">
      <c r="A8" s="2" t="inlineStr">
        <is>
          <t>Cleaning</t>
        </is>
      </c>
    </row>
    <row r="9">
      <c r="A9" s="2" t="inlineStr">
        <is>
          <t>Commissions</t>
        </is>
      </c>
    </row>
    <row r="10">
      <c r="A10" s="2" t="inlineStr">
        <is>
          <t>Insurance</t>
        </is>
      </c>
    </row>
    <row r="11">
      <c r="A11" s="2" t="inlineStr">
        <is>
          <t>Legal/Professional</t>
        </is>
      </c>
    </row>
    <row r="12">
      <c r="A12" s="2" t="inlineStr">
        <is>
          <t>Management</t>
        </is>
      </c>
    </row>
    <row r="13">
      <c r="A13" s="2" t="inlineStr">
        <is>
          <t>Mortgage interest</t>
        </is>
      </c>
    </row>
    <row r="14">
      <c r="A14" s="2" t="inlineStr">
        <is>
          <t>Repairs</t>
        </is>
      </c>
    </row>
    <row r="15">
      <c r="A15" s="2" t="inlineStr">
        <is>
          <t>Remodeling</t>
        </is>
      </c>
    </row>
    <row r="16">
      <c r="A16" s="2" t="inlineStr">
        <is>
          <t>Supplies</t>
        </is>
      </c>
    </row>
    <row r="17">
      <c r="A17" s="2" t="inlineStr">
        <is>
          <t>RE Tax</t>
        </is>
      </c>
    </row>
    <row r="18">
      <c r="A18" s="2" t="inlineStr">
        <is>
          <t>Utilities</t>
        </is>
      </c>
    </row>
    <row r="19">
      <c r="A19" s="2" t="inlineStr">
        <is>
          <t>Depreciation</t>
        </is>
      </c>
    </row>
    <row r="20">
      <c r="A20" s="2" t="inlineStr">
        <is>
          <t>Other</t>
        </is>
      </c>
    </row>
    <row r="21">
      <c r="A21" s="5" t="inlineStr">
        <is>
          <t xml:space="preserve">TOTAL </t>
        </is>
      </c>
      <c r="B21">
        <f>SUM(B7:B20)</f>
        <v/>
      </c>
    </row>
    <row r="23">
      <c r="A23" s="2" t="inlineStr">
        <is>
          <t>Profit/Loss</t>
        </is>
      </c>
      <c r="B23">
        <f>B3-B21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4" sqref="H34"/>
    </sheetView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Susan  Smith</dc:creator>
  <dcterms:created xsi:type="dcterms:W3CDTF">2025-01-13T19:35:57Z</dcterms:created>
  <dcterms:modified xsi:type="dcterms:W3CDTF">2026-06-14T01:46:32Z</dcterms:modified>
  <cp:lastModifiedBy>Susan  Smith</cp:lastModifiedBy>
</cp:coreProperties>
</file>