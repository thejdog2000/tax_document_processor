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sansmith/Downloads/"/>
    </mc:Choice>
  </mc:AlternateContent>
  <xr:revisionPtr revIDLastSave="0" documentId="8_{78CA1C86-0B7D-1441-8740-9655475713FB}" xr6:coauthVersionLast="47" xr6:coauthVersionMax="47" xr10:uidLastSave="{00000000-0000-0000-0000-000000000000}"/>
  <bookViews>
    <workbookView xWindow="0" yWindow="780" windowWidth="29040" windowHeight="15720" xr2:uid="{00000000-000D-0000-FFFF-FFFF00000000}"/>
  </bookViews>
  <sheets>
    <sheet name="1040" sheetId="1" r:id="rId1"/>
    <sheet name="Sch 1 A Ded" sheetId="2" r:id="rId2"/>
    <sheet name="SCH C" sheetId="3" r:id="rId3"/>
    <sheet name="SCH D" sheetId="4" r:id="rId4"/>
    <sheet name="SCH E" sheetId="5" r:id="rId5"/>
    <sheet name="SCH F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5" l="1"/>
  <c r="E31" i="4"/>
  <c r="E18" i="4"/>
  <c r="E3" i="4"/>
  <c r="B27" i="3"/>
  <c r="B25" i="3"/>
  <c r="B8" i="2"/>
  <c r="G58" i="1"/>
  <c r="C51" i="1"/>
  <c r="B48" i="1"/>
  <c r="M43" i="1"/>
  <c r="C43" i="1"/>
  <c r="C38" i="1"/>
  <c r="B38" i="1"/>
  <c r="J30" i="1"/>
  <c r="B25" i="1"/>
  <c r="C21" i="1"/>
  <c r="H20" i="1"/>
  <c r="C20" i="1"/>
  <c r="C16" i="1"/>
  <c r="J15" i="1"/>
  <c r="J14" i="1"/>
  <c r="C11" i="1"/>
  <c r="G9" i="1"/>
  <c r="F9" i="1"/>
  <c r="E9" i="1"/>
  <c r="D9" i="1"/>
  <c r="C9" i="1"/>
  <c r="B9" i="1"/>
  <c r="B23" i="5" l="1"/>
  <c r="E26" i="4"/>
  <c r="E32" i="4" s="1"/>
  <c r="B36" i="1" s="1"/>
  <c r="G60" i="1"/>
  <c r="B58" i="1"/>
  <c r="B62" i="1" s="1"/>
  <c r="E57" i="1"/>
  <c r="B11" i="2"/>
  <c r="B54" i="1" s="1"/>
  <c r="C36" i="1"/>
  <c r="D57" i="1"/>
  <c r="B40" i="1" l="1"/>
  <c r="C40" i="1"/>
  <c r="B55" i="1"/>
  <c r="C41" i="1"/>
  <c r="R6" i="1" l="1"/>
  <c r="S6" i="1" s="1"/>
  <c r="B41" i="1"/>
  <c r="O28" i="1"/>
  <c r="O29" i="1" s="1"/>
  <c r="J28" i="1" s="1"/>
  <c r="O22" i="1"/>
  <c r="O23" i="1" s="1"/>
  <c r="J20" i="1" s="1"/>
  <c r="K32" i="1" s="1"/>
  <c r="C49" i="1" s="1"/>
  <c r="C45" i="1"/>
  <c r="B1" i="2" l="1"/>
  <c r="P22" i="1"/>
  <c r="P23" i="1" s="1"/>
  <c r="K20" i="1" s="1"/>
  <c r="K33" i="1" s="1"/>
  <c r="B45" i="1"/>
  <c r="B56" i="1" s="1"/>
  <c r="B57" i="1" s="1"/>
  <c r="K14" i="1"/>
  <c r="K15" i="1"/>
  <c r="C52" i="1" l="1"/>
  <c r="C56" i="1" l="1"/>
  <c r="C5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25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 xml:space="preserve">ADMIN:
TAXABLE SS
</t>
        </r>
      </text>
    </comment>
  </commentList>
</comments>
</file>

<file path=xl/sharedStrings.xml><?xml version="1.0" encoding="utf-8"?>
<sst xmlns="http://schemas.openxmlformats.org/spreadsheetml/2006/main" count="147" uniqueCount="125">
  <si>
    <t>FILING STATUS</t>
  </si>
  <si>
    <t>1099's</t>
  </si>
  <si>
    <t>Filing Status</t>
  </si>
  <si>
    <t>FED STANDARD</t>
  </si>
  <si>
    <t>AL EXCLUSION</t>
  </si>
  <si>
    <t>INCOME</t>
  </si>
  <si>
    <t>FED INCOME</t>
  </si>
  <si>
    <t>AL INCOME</t>
  </si>
  <si>
    <t>FED WH</t>
  </si>
  <si>
    <t>AL WH</t>
  </si>
  <si>
    <t>FICA</t>
  </si>
  <si>
    <t>SINGLE</t>
  </si>
  <si>
    <t>MFJ/QSS</t>
  </si>
  <si>
    <t>HOH</t>
  </si>
  <si>
    <t>HELPER CELLS DON’T CHANGE</t>
  </si>
  <si>
    <t>MFS</t>
  </si>
  <si>
    <t>Total Income w/o SSA</t>
  </si>
  <si>
    <t>Helper Cells</t>
  </si>
  <si>
    <t>SENIOR Single</t>
  </si>
  <si>
    <t>SENIOR MFJ/QSS</t>
  </si>
  <si>
    <t>AL</t>
  </si>
  <si>
    <t>SENIOR HOH</t>
  </si>
  <si>
    <t>INTEREST</t>
  </si>
  <si>
    <t>QTY</t>
  </si>
  <si>
    <t>Dependent Under 17</t>
  </si>
  <si>
    <t>Dependent Over 17</t>
  </si>
  <si>
    <t>DIVIDED</t>
  </si>
  <si>
    <t>Eligible Seniors</t>
  </si>
  <si>
    <t>AL ONLY</t>
  </si>
  <si>
    <t>FED</t>
  </si>
  <si>
    <t>ITEMIZED DEDUCTIONS</t>
  </si>
  <si>
    <t>IRA</t>
  </si>
  <si>
    <t>AL PENSION ADJ</t>
  </si>
  <si>
    <t>MEDICAL</t>
  </si>
  <si>
    <t>Medical Deduction</t>
  </si>
  <si>
    <t>Medical Federal</t>
  </si>
  <si>
    <t>401k</t>
  </si>
  <si>
    <t>AL Ex OT Wages</t>
  </si>
  <si>
    <t>GENERAL SALES TAX</t>
  </si>
  <si>
    <t>PENSION</t>
  </si>
  <si>
    <t>PROPERTY TAXES</t>
  </si>
  <si>
    <t>VEHICLE CAR TAGS</t>
  </si>
  <si>
    <t>OTHER TAX</t>
  </si>
  <si>
    <t>SOCIAL SECURITY</t>
  </si>
  <si>
    <t>MORTGAGE</t>
  </si>
  <si>
    <t>CHARITY - CASH</t>
  </si>
  <si>
    <t>MISC</t>
  </si>
  <si>
    <t>K-1 INCOME</t>
  </si>
  <si>
    <t>CHARITY-NONCASH</t>
  </si>
  <si>
    <t>LOCAL TAX</t>
  </si>
  <si>
    <t>OTHER</t>
  </si>
  <si>
    <t>w2g</t>
  </si>
  <si>
    <t>PRIOR YEAR SE TAX</t>
  </si>
  <si>
    <t>Total AL Itemized Deductions</t>
  </si>
  <si>
    <t>Total Fed Itemized Deductions</t>
  </si>
  <si>
    <t>CAPITAL GAIN/LOSS</t>
  </si>
  <si>
    <t>SCH C</t>
  </si>
  <si>
    <t>SCH F</t>
  </si>
  <si>
    <t xml:space="preserve">SCH E </t>
  </si>
  <si>
    <t>TOTAL INCOME</t>
  </si>
  <si>
    <t>AL Adjustments to Income</t>
  </si>
  <si>
    <t>Adjustments</t>
  </si>
  <si>
    <t>Contribution to 529 Plan</t>
  </si>
  <si>
    <t>Adjusted Gross Income</t>
  </si>
  <si>
    <t xml:space="preserve">Deductions </t>
  </si>
  <si>
    <t>STANDARD</t>
  </si>
  <si>
    <t>ITEMIZED</t>
  </si>
  <si>
    <t>AL - Fed Tax deduction</t>
  </si>
  <si>
    <t>AL Personal Exemption</t>
  </si>
  <si>
    <t>AL Dependent Exemption</t>
  </si>
  <si>
    <t>QBI DEDUCTION</t>
  </si>
  <si>
    <t>Add Ded-Sch 1-A</t>
  </si>
  <si>
    <t>Deduction Total</t>
  </si>
  <si>
    <t>TAXABLE INCOME</t>
  </si>
  <si>
    <t>FEDERAL TAX (Line 16)</t>
  </si>
  <si>
    <t>CHILD TAX CREDIT</t>
  </si>
  <si>
    <t>EDUCATION CREDIT</t>
  </si>
  <si>
    <t>FOREIGN TAX CREDIT</t>
  </si>
  <si>
    <t>DEPENDENT CARE</t>
  </si>
  <si>
    <t>LINE 21</t>
  </si>
  <si>
    <t>Modified AGI</t>
  </si>
  <si>
    <t>Qualified Tips</t>
  </si>
  <si>
    <t>On W2</t>
  </si>
  <si>
    <t>On other documets</t>
  </si>
  <si>
    <t>Qualified Overtime</t>
  </si>
  <si>
    <t>On Last Pay Stub</t>
  </si>
  <si>
    <t>Car Loan Interest</t>
  </si>
  <si>
    <t>Senior Deduction</t>
  </si>
  <si>
    <t>EXPENSES</t>
  </si>
  <si>
    <t>Advertising</t>
  </si>
  <si>
    <t>Auto</t>
  </si>
  <si>
    <t>Commissions</t>
  </si>
  <si>
    <t>Contract Labor</t>
  </si>
  <si>
    <t>Depreciation</t>
  </si>
  <si>
    <t>Insurance</t>
  </si>
  <si>
    <t>Interest</t>
  </si>
  <si>
    <t>Legal/Professional</t>
  </si>
  <si>
    <t>Office</t>
  </si>
  <si>
    <t>Rent</t>
  </si>
  <si>
    <t>Repairs</t>
  </si>
  <si>
    <t>Supplies</t>
  </si>
  <si>
    <t>Taxes/Licenses</t>
  </si>
  <si>
    <t>Travel</t>
  </si>
  <si>
    <t>Meals</t>
  </si>
  <si>
    <t>Utilities</t>
  </si>
  <si>
    <t>Other</t>
  </si>
  <si>
    <t>Home Office</t>
  </si>
  <si>
    <t xml:space="preserve">TOTAL </t>
  </si>
  <si>
    <t>Profit/Loss</t>
  </si>
  <si>
    <t>Tips Deduction</t>
  </si>
  <si>
    <t>SHORT TERM</t>
  </si>
  <si>
    <t>ACCT NAME</t>
  </si>
  <si>
    <t>PROCEEDS</t>
  </si>
  <si>
    <t>BASIS</t>
  </si>
  <si>
    <t>WASH</t>
  </si>
  <si>
    <t>GAIN/LOSS</t>
  </si>
  <si>
    <t>LONG TERM</t>
  </si>
  <si>
    <t>Total Stock Transactions</t>
  </si>
  <si>
    <t>Other Capital Gain Distributions</t>
  </si>
  <si>
    <t>Total Gain/Loss</t>
  </si>
  <si>
    <t>Cleaning</t>
  </si>
  <si>
    <t>Management</t>
  </si>
  <si>
    <t>Mortgage interest</t>
  </si>
  <si>
    <t>Remodeling</t>
  </si>
  <si>
    <t>RE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</si>
</sst>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</borders>
  <cellStyleXfs count="2">
    <xf numFmtId="0" fontId="0" fillId="0" borderId="0"/>
    <xf numFmtId="44" fontId="2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44" fontId="0" fillId="0" borderId="0" xfId="0" applyNumberFormat="1"/>
    <xf numFmtId="44" fontId="0" fillId="0" borderId="1" xfId="0" applyNumberFormat="1" applyBorder="1"/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applyAlignment="1">
      <alignment horizontal="left" indent="2"/>
    </xf>
    <xf numFmtId="0" fontId="0" fillId="0" borderId="1" xfId="0" applyBorder="1"/>
    <xf numFmtId="0" fontId="0" fillId="3" borderId="0" xfId="0" applyFill="1"/>
    <xf numFmtId="44" fontId="0" fillId="4" borderId="0" xfId="0" applyNumberFormat="1" applyFill="1"/>
    <xf numFmtId="9" fontId="0" fillId="0" borderId="0" xfId="0" applyNumberFormat="1"/>
    <xf numFmtId="44" fontId="0" fillId="0" borderId="2" xfId="0" applyNumberFormat="1" applyBorder="1"/>
    <xf numFmtId="44" fontId="1" fillId="0" borderId="0" xfId="0" applyNumberFormat="1" applyFont="1"/>
    <xf numFmtId="0" fontId="1" fillId="0" borderId="0" xfId="0" applyFont="1"/>
    <xf numFmtId="0" fontId="0" fillId="5" borderId="0" xfId="0" applyFill="1"/>
    <xf numFmtId="44" fontId="0" fillId="0" borderId="0" xfId="1" applyFont="1"/>
    <xf numFmtId="0" fontId="1" fillId="6" borderId="3" xfId="0" applyFont="1" applyFill="1" applyBorder="1" applyAlignment="1">
      <alignment horizontal="center" vertical="center"/>
    </xf>
    <xf numFmtId="0" fontId="0" fillId="0" borderId="3" xfId="0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164" fontId="0" fillId="0" borderId="3" xfId="0" applyNumberFormat="1" applyBorder="1"/>
    <xf numFmtId="0" fontId="1" fillId="6" borderId="3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/>
  </cellXfs>
  <cellStyles count="2">
    <cellStyle name="Currency" xfId="1" builtinId="4"/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2"/>
  <sheetViews>
    <sheetView tabSelected="1" topLeftCell="A25" zoomScale="90" zoomScaleNormal="90" workbookViewId="0">
      <selection activeCell="R7" sqref="R7"/>
    </sheetView>
  </sheetViews>
  <sheetFormatPr baseColWidth="10" defaultColWidth="8.83203125" defaultRowHeight="15" x14ac:dyDescent="0.2"/>
  <cols>
    <col min="1" max="1" width="25.6640625" customWidth="1"/>
    <col min="2" max="2" width="15.33203125" style="3" bestFit="1" customWidth="1"/>
    <col min="3" max="3" width="15" bestFit="1" customWidth="1"/>
    <col min="4" max="4" width="12.5" bestFit="1" customWidth="1"/>
    <col min="5" max="5" width="12.1640625" bestFit="1" customWidth="1"/>
    <col min="6" max="6" width="12.5" bestFit="1" customWidth="1"/>
    <col min="7" max="7" width="15.1640625" bestFit="1" customWidth="1"/>
    <col min="8" max="8" width="20.5" customWidth="1"/>
    <col min="9" max="9" width="18.5" bestFit="1" customWidth="1"/>
    <col min="10" max="10" width="12.33203125" bestFit="1" customWidth="1"/>
    <col min="11" max="11" width="14.33203125" customWidth="1"/>
    <col min="12" max="12" width="41" bestFit="1" customWidth="1"/>
    <col min="15" max="15" width="17.6640625" bestFit="1" customWidth="1"/>
    <col min="16" max="16" width="12.6640625" bestFit="1" customWidth="1"/>
    <col min="18" max="18" width="19.33203125" bestFit="1" customWidth="1"/>
    <col min="19" max="19" width="13.33203125" bestFit="1" customWidth="1"/>
  </cols>
  <sheetData>
    <row r="1" spans="1:19" x14ac:dyDescent="0.2">
      <c r="A1" s="14" t="s">
        <v>0</v>
      </c>
      <c r="G1" s="1" t="s">
        <v>1</v>
      </c>
      <c r="H1" s="23" t="s">
        <v>2</v>
      </c>
      <c r="I1" s="23" t="s">
        <v>3</v>
      </c>
      <c r="J1" s="23"/>
      <c r="K1" s="23" t="s">
        <v>4</v>
      </c>
      <c r="L1" s="19"/>
    </row>
    <row r="2" spans="1:19" x14ac:dyDescent="0.2">
      <c r="A2" t="s">
        <v>5</v>
      </c>
      <c r="B2" s="3" t="s">
        <v>6</v>
      </c>
      <c r="C2" t="s">
        <v>7</v>
      </c>
      <c r="D2" t="s">
        <v>8</v>
      </c>
      <c r="E2" t="s">
        <v>9</v>
      </c>
      <c r="F2" t="s">
        <v>10</v>
      </c>
      <c r="H2" s="18" t="b">
        <v>0</v>
      </c>
      <c r="I2" s="18" t="s">
        <v>11</v>
      </c>
      <c r="J2" s="22">
        <v>15750</v>
      </c>
      <c r="K2" s="18">
        <v>1500</v>
      </c>
      <c r="L2" s="20"/>
    </row>
    <row r="3" spans="1:19" x14ac:dyDescent="0.2">
      <c r="A3" s="2"/>
      <c r="C3" s="3"/>
      <c r="D3" s="3"/>
      <c r="E3" s="3"/>
      <c r="F3" s="3"/>
      <c r="G3" s="3"/>
      <c r="H3" s="18" t="b">
        <v>0</v>
      </c>
      <c r="I3" s="18" t="s">
        <v>12</v>
      </c>
      <c r="J3" s="22">
        <v>31500</v>
      </c>
      <c r="K3" s="18">
        <v>3000</v>
      </c>
      <c r="L3" s="21"/>
    </row>
    <row r="4" spans="1:19" x14ac:dyDescent="0.2">
      <c r="C4" s="3"/>
      <c r="D4" s="3"/>
      <c r="E4" s="3"/>
      <c r="F4" s="3"/>
      <c r="G4" s="3"/>
      <c r="H4" s="18" t="b">
        <v>0</v>
      </c>
      <c r="I4" s="18" t="s">
        <v>13</v>
      </c>
      <c r="J4" s="22">
        <v>23625</v>
      </c>
      <c r="K4" s="18">
        <v>3000</v>
      </c>
      <c r="R4" s="27" t="s">
        <v>14</v>
      </c>
      <c r="S4" s="28"/>
    </row>
    <row r="5" spans="1:19" x14ac:dyDescent="0.2">
      <c r="C5" s="3"/>
      <c r="D5" s="3"/>
      <c r="E5" s="3"/>
      <c r="F5" s="3"/>
      <c r="G5" s="3"/>
      <c r="H5" s="18" t="b">
        <v>0</v>
      </c>
      <c r="I5" s="18" t="s">
        <v>15</v>
      </c>
      <c r="J5" s="22">
        <v>15750</v>
      </c>
      <c r="K5" s="18">
        <v>1500</v>
      </c>
      <c r="R5" t="s">
        <v>16</v>
      </c>
      <c r="S5" t="s">
        <v>17</v>
      </c>
    </row>
    <row r="6" spans="1:19" x14ac:dyDescent="0.2">
      <c r="C6" s="3"/>
      <c r="D6" s="3"/>
      <c r="E6" s="3"/>
      <c r="F6" s="3"/>
      <c r="G6" s="3"/>
      <c r="H6" s="18" t="b">
        <v>0</v>
      </c>
      <c r="I6" s="18" t="s">
        <v>18</v>
      </c>
      <c r="J6" s="22">
        <v>17750</v>
      </c>
      <c r="K6" s="18">
        <v>1500</v>
      </c>
      <c r="R6" s="3">
        <f>SUM(B9:B24,B27:B40)-B43</f>
        <v>0</v>
      </c>
      <c r="S6" s="3">
        <f>R6 + (A26/2)</f>
        <v>0</v>
      </c>
    </row>
    <row r="7" spans="1:19" x14ac:dyDescent="0.2">
      <c r="C7" s="3"/>
      <c r="D7" s="3"/>
      <c r="E7" s="3"/>
      <c r="G7" s="3"/>
      <c r="H7" s="18" t="b">
        <v>0</v>
      </c>
      <c r="I7" s="18" t="s">
        <v>19</v>
      </c>
      <c r="J7" s="22">
        <v>34700</v>
      </c>
      <c r="K7" s="18">
        <v>3000</v>
      </c>
      <c r="R7" t="s">
        <v>20</v>
      </c>
      <c r="S7" s="11">
        <v>0.09</v>
      </c>
    </row>
    <row r="8" spans="1:19" x14ac:dyDescent="0.2">
      <c r="B8" s="4"/>
      <c r="C8" s="4"/>
      <c r="D8" s="4"/>
      <c r="E8" s="4"/>
      <c r="F8" s="4"/>
      <c r="G8" s="4"/>
      <c r="H8" s="18" t="b">
        <v>0</v>
      </c>
      <c r="I8" s="18" t="s">
        <v>21</v>
      </c>
      <c r="J8" s="22">
        <v>25625</v>
      </c>
      <c r="K8" s="18">
        <v>3000</v>
      </c>
    </row>
    <row r="9" spans="1:19" x14ac:dyDescent="0.2">
      <c r="B9" s="3">
        <f>SUM(B3:B8)</f>
        <v>0</v>
      </c>
      <c r="C9" s="3">
        <f>SUM(C3:C8)</f>
        <v>0</v>
      </c>
      <c r="D9" s="3">
        <f>SUM(D3:D8)</f>
        <v>0</v>
      </c>
      <c r="E9" s="3">
        <f>SUM(E3:E8)</f>
        <v>0</v>
      </c>
      <c r="F9" s="3">
        <f>SUM(F3:F8)</f>
        <v>0</v>
      </c>
      <c r="G9" s="3">
        <f>SUM(G2:G8)</f>
        <v>0</v>
      </c>
    </row>
    <row r="10" spans="1:19" x14ac:dyDescent="0.2">
      <c r="C10" s="3"/>
      <c r="D10" s="3"/>
      <c r="E10" s="3"/>
      <c r="G10" s="3"/>
    </row>
    <row r="11" spans="1:19" x14ac:dyDescent="0.2">
      <c r="A11" s="2" t="s">
        <v>22</v>
      </c>
      <c r="C11" s="3">
        <f>B11</f>
        <v>0</v>
      </c>
      <c r="D11" s="3"/>
      <c r="E11" s="3"/>
      <c r="G11" s="3"/>
    </row>
    <row r="12" spans="1:19" x14ac:dyDescent="0.2">
      <c r="A12" s="5"/>
      <c r="D12" s="3"/>
      <c r="E12" s="3"/>
      <c r="G12" s="3"/>
    </row>
    <row r="13" spans="1:19" x14ac:dyDescent="0.2">
      <c r="A13" s="5"/>
      <c r="D13" s="3"/>
      <c r="E13" s="3"/>
      <c r="G13" s="3"/>
      <c r="H13" s="17" t="s">
        <v>23</v>
      </c>
      <c r="I13" s="18"/>
      <c r="J13" s="18"/>
      <c r="K13" s="18"/>
    </row>
    <row r="14" spans="1:19" x14ac:dyDescent="0.2">
      <c r="A14" s="5"/>
      <c r="C14" s="3"/>
      <c r="D14" s="3"/>
      <c r="E14" s="3"/>
      <c r="H14" s="18">
        <v>0</v>
      </c>
      <c r="I14" s="18" t="s">
        <v>24</v>
      </c>
      <c r="J14" s="18">
        <f>H14*2200</f>
        <v>0</v>
      </c>
      <c r="K14" s="18">
        <f>IF(C45&lt;=50000,H14*1000,IF(C45&lt;=100000,H14*500,H14*300))</f>
        <v>0</v>
      </c>
    </row>
    <row r="15" spans="1:19" x14ac:dyDescent="0.2">
      <c r="A15" s="5"/>
      <c r="C15" s="3"/>
      <c r="D15" s="3"/>
      <c r="E15" s="3"/>
      <c r="G15" s="3"/>
      <c r="H15" s="18">
        <v>0</v>
      </c>
      <c r="I15" s="18" t="s">
        <v>25</v>
      </c>
      <c r="J15" s="18">
        <f>H15*500</f>
        <v>0</v>
      </c>
      <c r="K15" s="18">
        <f>IF(C45&lt;=50000,H15*1000,IF(C45&lt;=100000,H15*500,H15*300))</f>
        <v>0</v>
      </c>
    </row>
    <row r="16" spans="1:19" x14ac:dyDescent="0.2">
      <c r="A16" s="2" t="s">
        <v>26</v>
      </c>
      <c r="C16" s="3">
        <f>B16</f>
        <v>0</v>
      </c>
      <c r="D16" s="3"/>
      <c r="E16" s="3"/>
      <c r="H16" s="18"/>
      <c r="I16" s="18" t="s">
        <v>27</v>
      </c>
      <c r="J16" s="18"/>
      <c r="K16" s="18"/>
    </row>
    <row r="17" spans="1:19" x14ac:dyDescent="0.2">
      <c r="A17" s="2"/>
      <c r="C17" s="3"/>
      <c r="D17" s="3"/>
      <c r="E17" s="3"/>
    </row>
    <row r="18" spans="1:19" x14ac:dyDescent="0.2">
      <c r="A18" s="2"/>
      <c r="C18" s="3"/>
      <c r="D18" s="3"/>
      <c r="E18" s="3"/>
    </row>
    <row r="19" spans="1:19" x14ac:dyDescent="0.2">
      <c r="A19" s="2"/>
      <c r="C19" s="3"/>
      <c r="D19" s="3"/>
      <c r="E19" s="3"/>
      <c r="J19" s="24" t="s">
        <v>28</v>
      </c>
      <c r="K19" s="24" t="s">
        <v>29</v>
      </c>
      <c r="L19" s="25" t="s">
        <v>30</v>
      </c>
    </row>
    <row r="20" spans="1:19" x14ac:dyDescent="0.2">
      <c r="A20" s="2" t="s">
        <v>31</v>
      </c>
      <c r="C20" s="3">
        <f>B20</f>
        <v>0</v>
      </c>
      <c r="D20" s="3"/>
      <c r="E20" s="3"/>
      <c r="F20" s="3"/>
      <c r="G20" t="s">
        <v>32</v>
      </c>
      <c r="H20" s="3">
        <f>SUM(B22:B24)</f>
        <v>0</v>
      </c>
      <c r="J20" s="3">
        <f>IF(O23&gt;0,O23,0)</f>
        <v>0</v>
      </c>
      <c r="K20" s="3">
        <f>IF(P23&gt;0,P23,0)</f>
        <v>0</v>
      </c>
      <c r="L20" s="2" t="s">
        <v>33</v>
      </c>
      <c r="O20" t="s">
        <v>34</v>
      </c>
      <c r="P20" t="s">
        <v>35</v>
      </c>
    </row>
    <row r="21" spans="1:19" x14ac:dyDescent="0.2">
      <c r="A21" s="2" t="s">
        <v>36</v>
      </c>
      <c r="C21" s="3">
        <f>B21</f>
        <v>0</v>
      </c>
      <c r="D21" s="3"/>
      <c r="E21" s="3"/>
      <c r="G21" t="s">
        <v>37</v>
      </c>
      <c r="H21" s="9"/>
      <c r="K21" s="3"/>
      <c r="L21" s="2" t="s">
        <v>38</v>
      </c>
      <c r="S21" s="16"/>
    </row>
    <row r="22" spans="1:19" x14ac:dyDescent="0.2">
      <c r="A22" s="2" t="s">
        <v>39</v>
      </c>
      <c r="C22" s="3"/>
      <c r="D22" s="3"/>
      <c r="E22" s="3"/>
      <c r="L22" s="2" t="s">
        <v>40</v>
      </c>
      <c r="O22" s="4">
        <f>C41*0.04</f>
        <v>0</v>
      </c>
      <c r="P22" s="4">
        <f>B41*0.075</f>
        <v>0</v>
      </c>
      <c r="S22" s="16"/>
    </row>
    <row r="23" spans="1:19" x14ac:dyDescent="0.2">
      <c r="A23" s="2"/>
      <c r="C23" s="3"/>
      <c r="D23" s="3"/>
      <c r="E23" s="3"/>
      <c r="L23" s="2" t="s">
        <v>41</v>
      </c>
      <c r="O23" s="3">
        <f>O21-O22</f>
        <v>0</v>
      </c>
      <c r="P23" s="3">
        <f>O21-P22</f>
        <v>0</v>
      </c>
      <c r="S23" s="16"/>
    </row>
    <row r="24" spans="1:19" x14ac:dyDescent="0.2">
      <c r="A24" s="2"/>
      <c r="C24" s="3"/>
      <c r="D24" s="3"/>
      <c r="E24" s="3"/>
      <c r="L24" s="2" t="s">
        <v>42</v>
      </c>
    </row>
    <row r="25" spans="1:19" x14ac:dyDescent="0.2">
      <c r="A25" s="2" t="s">
        <v>43</v>
      </c>
      <c r="B25" s="3">
        <f>MIN(A26*0.85,
 IF(OR(H3,H7,H8),
  IF(S6&lt;=32000,0,
   IF(S6&lt;=44000,(S6-32000)*0.5,6000+(S6-44000)*0.85)),
 IF(OR(H2,H4,H6,H8),
  IF(S6&lt;=25000,0,
   IF(S6&lt;=34000,(S6-25000)*0.5,4500+(S6-34000)*0.85)),
 IF(H5,
  A26*0.85,
  0))))</f>
        <v>0</v>
      </c>
      <c r="C25" s="3">
        <v>0</v>
      </c>
      <c r="D25" s="3"/>
      <c r="E25" s="3"/>
      <c r="L25" s="2" t="s">
        <v>44</v>
      </c>
    </row>
    <row r="26" spans="1:19" x14ac:dyDescent="0.2">
      <c r="A26" s="3">
        <v>0</v>
      </c>
      <c r="C26" s="3"/>
      <c r="D26" s="3"/>
      <c r="E26" s="3"/>
      <c r="L26" s="2" t="s">
        <v>45</v>
      </c>
      <c r="O26" t="s">
        <v>46</v>
      </c>
    </row>
    <row r="27" spans="1:19" x14ac:dyDescent="0.2">
      <c r="A27" s="2" t="s">
        <v>47</v>
      </c>
      <c r="C27" s="3"/>
      <c r="D27" s="3"/>
      <c r="E27" s="3"/>
      <c r="L27" s="2" t="s">
        <v>48</v>
      </c>
    </row>
    <row r="28" spans="1:19" x14ac:dyDescent="0.2">
      <c r="A28" s="2"/>
      <c r="C28" s="3"/>
      <c r="D28" s="3"/>
      <c r="E28" s="3"/>
      <c r="J28" s="3">
        <f>IF(O29&gt;0,O29,0)</f>
        <v>0</v>
      </c>
      <c r="L28" s="2" t="s">
        <v>46</v>
      </c>
      <c r="O28" s="4">
        <f>C41*0.02</f>
        <v>0</v>
      </c>
    </row>
    <row r="29" spans="1:19" x14ac:dyDescent="0.2">
      <c r="A29" s="2"/>
      <c r="C29" s="3"/>
      <c r="D29" s="3"/>
      <c r="E29" s="3"/>
      <c r="L29" s="2" t="s">
        <v>49</v>
      </c>
      <c r="O29" s="3">
        <f>O27-O28</f>
        <v>0</v>
      </c>
    </row>
    <row r="30" spans="1:19" x14ac:dyDescent="0.2">
      <c r="A30" s="2" t="s">
        <v>50</v>
      </c>
      <c r="C30" s="3"/>
      <c r="D30" s="3"/>
      <c r="E30" s="3"/>
      <c r="J30" s="3">
        <f>F9</f>
        <v>0</v>
      </c>
      <c r="L30" t="s">
        <v>10</v>
      </c>
    </row>
    <row r="31" spans="1:19" x14ac:dyDescent="0.2">
      <c r="A31" s="2" t="s">
        <v>51</v>
      </c>
      <c r="C31" s="3"/>
      <c r="D31" s="3"/>
      <c r="E31" s="3"/>
      <c r="K31" s="8"/>
      <c r="L31" t="s">
        <v>52</v>
      </c>
    </row>
    <row r="32" spans="1:19" x14ac:dyDescent="0.2">
      <c r="A32" s="2"/>
      <c r="C32" s="3"/>
      <c r="D32" s="3"/>
      <c r="E32" s="3"/>
      <c r="K32" s="3">
        <f>J30+K31+J20+K29+J28+K27+K26+K25+K24+K23+K22</f>
        <v>0</v>
      </c>
      <c r="L32" t="s">
        <v>53</v>
      </c>
    </row>
    <row r="33" spans="1:13" x14ac:dyDescent="0.2">
      <c r="A33" s="2"/>
      <c r="C33" s="3"/>
      <c r="D33" s="3"/>
      <c r="E33" s="3"/>
      <c r="K33" s="3">
        <f>SUM(K20:K27)</f>
        <v>0</v>
      </c>
      <c r="L33" t="s">
        <v>54</v>
      </c>
    </row>
    <row r="34" spans="1:13" x14ac:dyDescent="0.2">
      <c r="A34" s="2"/>
      <c r="B34" s="4"/>
      <c r="C34" s="4"/>
      <c r="D34" s="3"/>
      <c r="E34" s="3"/>
    </row>
    <row r="35" spans="1:13" x14ac:dyDescent="0.2">
      <c r="A35" s="2"/>
      <c r="C35" s="3"/>
      <c r="E35" s="3"/>
    </row>
    <row r="36" spans="1:13" x14ac:dyDescent="0.2">
      <c r="A36" s="2" t="s">
        <v>55</v>
      </c>
      <c r="B36" s="3">
        <f>'SCH D'!E32</f>
        <v>0</v>
      </c>
      <c r="C36" s="3">
        <f>B36</f>
        <v>0</v>
      </c>
      <c r="D36" s="3"/>
      <c r="E36" s="3"/>
    </row>
    <row r="37" spans="1:13" x14ac:dyDescent="0.2">
      <c r="A37" s="2"/>
      <c r="C37" s="3"/>
      <c r="D37" s="3"/>
      <c r="E37" s="3"/>
    </row>
    <row r="38" spans="1:13" x14ac:dyDescent="0.2">
      <c r="A38" s="2" t="s">
        <v>56</v>
      </c>
      <c r="B38" s="3">
        <f>'SCH C'!B27</f>
        <v>0</v>
      </c>
      <c r="C38" s="3">
        <f>'SCH C'!B27</f>
        <v>0</v>
      </c>
      <c r="D38" s="3"/>
      <c r="E38" s="3"/>
    </row>
    <row r="39" spans="1:13" x14ac:dyDescent="0.2">
      <c r="A39" s="2" t="s">
        <v>57</v>
      </c>
      <c r="C39" s="3"/>
      <c r="D39" s="3"/>
      <c r="E39" s="3"/>
    </row>
    <row r="40" spans="1:13" x14ac:dyDescent="0.2">
      <c r="A40" s="2" t="s">
        <v>58</v>
      </c>
      <c r="B40" s="4">
        <f>'SCH E'!B23</f>
        <v>0</v>
      </c>
      <c r="C40" s="4">
        <f>'SCH E'!B23</f>
        <v>0</v>
      </c>
      <c r="D40" s="3"/>
      <c r="E40" s="3"/>
    </row>
    <row r="41" spans="1:13" x14ac:dyDescent="0.2">
      <c r="A41" s="5" t="s">
        <v>59</v>
      </c>
      <c r="B41" s="3">
        <f>SUM(B9:B40)</f>
        <v>0</v>
      </c>
      <c r="C41" s="3">
        <f>SUM(C9:C40)</f>
        <v>0</v>
      </c>
      <c r="D41" s="3"/>
      <c r="E41" s="3"/>
    </row>
    <row r="42" spans="1:13" x14ac:dyDescent="0.2">
      <c r="A42" s="5"/>
      <c r="C42" s="3"/>
      <c r="D42" s="3"/>
      <c r="E42" s="3"/>
      <c r="L42" s="14" t="s">
        <v>60</v>
      </c>
      <c r="M42" s="15"/>
    </row>
    <row r="43" spans="1:13" x14ac:dyDescent="0.2">
      <c r="A43" s="5" t="s">
        <v>61</v>
      </c>
      <c r="C43" s="3">
        <f>M43</f>
        <v>0</v>
      </c>
      <c r="D43" s="3"/>
      <c r="E43" s="3"/>
      <c r="L43" t="s">
        <v>62</v>
      </c>
      <c r="M43">
        <f>SUM(M42)</f>
        <v>0</v>
      </c>
    </row>
    <row r="44" spans="1:13" x14ac:dyDescent="0.2">
      <c r="A44" s="5"/>
      <c r="C44" s="3"/>
      <c r="D44" s="3"/>
      <c r="E44" s="3"/>
    </row>
    <row r="45" spans="1:13" x14ac:dyDescent="0.2">
      <c r="A45" s="5" t="s">
        <v>63</v>
      </c>
      <c r="B45" s="3">
        <f>B41-B43</f>
        <v>0</v>
      </c>
      <c r="C45" s="3">
        <f>C41-C43</f>
        <v>0</v>
      </c>
      <c r="D45" s="3"/>
      <c r="E45" s="3"/>
    </row>
    <row r="46" spans="1:13" x14ac:dyDescent="0.2">
      <c r="A46" s="5"/>
      <c r="C46" s="3"/>
      <c r="D46" s="3"/>
      <c r="E46" s="3"/>
    </row>
    <row r="47" spans="1:13" x14ac:dyDescent="0.2">
      <c r="A47" s="5" t="s">
        <v>64</v>
      </c>
      <c r="C47" s="3"/>
      <c r="D47" s="3"/>
      <c r="E47" s="3"/>
      <c r="F47" s="6"/>
    </row>
    <row r="48" spans="1:13" x14ac:dyDescent="0.2">
      <c r="A48" s="7" t="s">
        <v>65</v>
      </c>
      <c r="B48" s="3">
        <f>SUMIF(H2:H7,TRUE,J2:J7)</f>
        <v>0</v>
      </c>
      <c r="C48" s="3"/>
      <c r="D48" s="3"/>
      <c r="E48" s="3"/>
      <c r="F48" s="6"/>
    </row>
    <row r="49" spans="1:7" x14ac:dyDescent="0.2">
      <c r="A49" s="7" t="s">
        <v>66</v>
      </c>
      <c r="C49" s="3">
        <f>K32</f>
        <v>0</v>
      </c>
      <c r="D49" s="3"/>
      <c r="E49" s="3"/>
    </row>
    <row r="50" spans="1:7" x14ac:dyDescent="0.2">
      <c r="A50" s="7" t="s">
        <v>67</v>
      </c>
      <c r="B50" s="10"/>
      <c r="C50" s="3"/>
      <c r="D50" s="3"/>
      <c r="E50" s="3"/>
    </row>
    <row r="51" spans="1:7" x14ac:dyDescent="0.2">
      <c r="A51" s="7" t="s">
        <v>68</v>
      </c>
      <c r="B51" s="10"/>
      <c r="C51" s="3">
        <f>SUMIF(H2:H8,TRUE,K2:K8)</f>
        <v>0</v>
      </c>
      <c r="D51" s="3"/>
      <c r="E51" s="3"/>
    </row>
    <row r="52" spans="1:7" x14ac:dyDescent="0.2">
      <c r="A52" s="7" t="s">
        <v>69</v>
      </c>
      <c r="B52" s="10"/>
      <c r="C52" s="3">
        <f>K14+K15</f>
        <v>0</v>
      </c>
      <c r="D52" s="3"/>
      <c r="E52" s="3"/>
    </row>
    <row r="53" spans="1:7" x14ac:dyDescent="0.2">
      <c r="A53" s="7" t="s">
        <v>70</v>
      </c>
      <c r="C53" s="3"/>
      <c r="D53" s="3"/>
      <c r="E53" s="3"/>
    </row>
    <row r="54" spans="1:7" x14ac:dyDescent="0.2">
      <c r="A54" s="7" t="s">
        <v>71</v>
      </c>
      <c r="B54" s="4">
        <f>'Sch 1 A Ded'!B11</f>
        <v>0</v>
      </c>
      <c r="C54" s="4"/>
      <c r="D54" s="3"/>
      <c r="E54" s="3"/>
    </row>
    <row r="55" spans="1:7" x14ac:dyDescent="0.2">
      <c r="A55" t="s">
        <v>72</v>
      </c>
      <c r="B55" s="12">
        <f>SUM(B48:B54)</f>
        <v>0</v>
      </c>
      <c r="C55" s="12">
        <f>SUM(C48:C54)</f>
        <v>0</v>
      </c>
      <c r="D55" s="3"/>
      <c r="E55" s="3"/>
    </row>
    <row r="56" spans="1:7" x14ac:dyDescent="0.2">
      <c r="A56" s="5" t="s">
        <v>73</v>
      </c>
      <c r="B56" s="13">
        <f>B45-B48-B49-B54-B53</f>
        <v>0</v>
      </c>
      <c r="C56" s="13">
        <f>C45-C48-C49-C54-C50-C51-C53-C52</f>
        <v>0</v>
      </c>
      <c r="D56" s="4"/>
      <c r="E56" s="4"/>
    </row>
    <row r="57" spans="1:7" x14ac:dyDescent="0.2">
      <c r="A57" t="s">
        <v>74</v>
      </c>
      <c r="B57">
        <f>IF(B56&lt;=0,0,IF(H3,IF(B56&lt;=23850,ROUND(B56*0.1,0),IF(B56&lt;=96950,ROUND(2385+(B56-23850)*0.12,0),IF(B56&lt;=206700,ROUND(11157+(B56-96950)*0.22,0),IF(B56&lt;=394600,ROUND(35302+(B56-206700)*0.24,0),IF(B56&lt;=501050,ROUND(80398+(B56-394600)*0.32,0),IF(B56&lt;=751600,ROUND(114462+(B56-501050)*0.35,0),ROUND(202154.5+(B56-751600)*0.37,0))))))),IF(H4,IF(B56&lt;=17000,ROUND(B56*0.1,0),IF(B56&lt;=64850,ROUND(1700+(B56-17000)*0.12,0),IF(B56&lt;=103350,ROUND(7442+(B56-64850)*0.22,0),IF(B56&lt;=197300,ROUND(15912+(B56-103350)*0.24,0),IF(B56&lt;=250500,ROUND(38460+(B56-197300)*0.32,0),IF(B56&lt;=626350,ROUND(55484+(B56-250500)*0.35,0),ROUND(187031.5+(B56-626350)*0.37,0))))))),IF(B56&lt;=11925,ROUND(B56*0.1,0),IF(B56&lt;=48475,ROUND(1192.5+(B56-11925)*0.12,0),IF(B56&lt;=103350,ROUND(5578.5+(B56-48475)*0.22,0),IF(B56&lt;=197300,ROUND(17651+(B56-103350)*0.24,0),IF(B56&lt;=250525,ROUND(40199+(B56-197300)*0.32,0),IF(B56&lt;=626350,ROUND(57231+(B56-250525)*0.35,0),ROUND(188769.75+(B56-626350)*0.37,0))))))))))</f>
        <v>0</v>
      </c>
      <c r="C57" s="3"/>
      <c r="D57" s="3">
        <f>SUM(D9:D54)</f>
        <v>0</v>
      </c>
      <c r="E57" s="3">
        <f>SUM(E9:E54)</f>
        <v>0</v>
      </c>
      <c r="G57" s="3"/>
    </row>
    <row r="58" spans="1:7" x14ac:dyDescent="0.2">
      <c r="A58" s="7" t="s">
        <v>75</v>
      </c>
      <c r="B58" s="3">
        <f>J14+J15</f>
        <v>0</v>
      </c>
      <c r="G58" s="4">
        <f>E49+E53</f>
        <v>0</v>
      </c>
    </row>
    <row r="59" spans="1:7" x14ac:dyDescent="0.2">
      <c r="A59" s="7" t="s">
        <v>76</v>
      </c>
      <c r="G59" s="3"/>
    </row>
    <row r="60" spans="1:7" x14ac:dyDescent="0.2">
      <c r="A60" s="7" t="s">
        <v>77</v>
      </c>
      <c r="G60" s="3">
        <f>G57-G58</f>
        <v>0</v>
      </c>
    </row>
    <row r="61" spans="1:7" x14ac:dyDescent="0.2">
      <c r="A61" s="7" t="s">
        <v>78</v>
      </c>
      <c r="B61" s="4"/>
    </row>
    <row r="62" spans="1:7" x14ac:dyDescent="0.2">
      <c r="A62" s="5" t="s">
        <v>79</v>
      </c>
      <c r="B62" s="3">
        <f>B58+B60+B61+B59</f>
        <v>0</v>
      </c>
    </row>
  </sheetData>
  <mergeCells count="1">
    <mergeCell ref="R4:S4"/>
  </mergeCells>
  <conditionalFormatting sqref="K33">
    <cfRule type="expression" dxfId="0" priority="1">
      <formula>K33&gt;$B$48</formula>
    </cfRule>
  </conditionalFormatting>
  <pageMargins left="0.7" right="0.7" top="0.75" bottom="0.75" header="0.3" footer="0.3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B8" sqref="B8"/>
    </sheetView>
  </sheetViews>
  <sheetFormatPr baseColWidth="10" defaultColWidth="8.83203125" defaultRowHeight="15" x14ac:dyDescent="0.2"/>
  <cols>
    <col min="1" max="1" width="17.6640625" bestFit="1" customWidth="1"/>
    <col min="2" max="2" width="11.5" bestFit="1" customWidth="1"/>
    <col min="3" max="3" width="11.6640625" bestFit="1" customWidth="1"/>
    <col min="5" max="5" width="18" bestFit="1" customWidth="1"/>
  </cols>
  <sheetData>
    <row r="1" spans="1:5" x14ac:dyDescent="0.2">
      <c r="A1" t="s">
        <v>80</v>
      </c>
      <c r="B1" s="3">
        <f>'1040'!B41</f>
        <v>0</v>
      </c>
    </row>
    <row r="5" spans="1:5" x14ac:dyDescent="0.2">
      <c r="A5" t="s">
        <v>81</v>
      </c>
      <c r="C5" t="s">
        <v>82</v>
      </c>
      <c r="E5" t="s">
        <v>83</v>
      </c>
    </row>
    <row r="6" spans="1:5" x14ac:dyDescent="0.2">
      <c r="A6" t="s">
        <v>84</v>
      </c>
      <c r="C6" t="s">
        <v>82</v>
      </c>
      <c r="E6" t="s">
        <v>85</v>
      </c>
    </row>
    <row r="7" spans="1:5" x14ac:dyDescent="0.2">
      <c r="A7" t="s">
        <v>86</v>
      </c>
    </row>
    <row r="8" spans="1:5" x14ac:dyDescent="0.2">
      <c r="A8" t="s">
        <v>87</v>
      </c>
      <c r="B8">
        <f>IF(IFERROR(VALUE('1040'!H16),0)&gt;0,
  MAX(6000*IFERROR(VALUE('1040'!H16),0) - 0.06*MAX(B1-IF('1040'!H8&lt;&gt;"",150000,75000),0),0),
0)</f>
        <v>0</v>
      </c>
    </row>
    <row r="11" spans="1:5" x14ac:dyDescent="0.2">
      <c r="B11">
        <f>SUM(B5:B8)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29"/>
  <sheetViews>
    <sheetView topLeftCell="A7" workbookViewId="0">
      <selection activeCell="A30" sqref="A30"/>
    </sheetView>
  </sheetViews>
  <sheetFormatPr baseColWidth="10" defaultColWidth="8.83203125" defaultRowHeight="15" x14ac:dyDescent="0.2"/>
  <cols>
    <col min="1" max="1" width="19" bestFit="1" customWidth="1"/>
  </cols>
  <sheetData>
    <row r="3" spans="1:1" x14ac:dyDescent="0.2">
      <c r="A3" t="s">
        <v>5</v>
      </c>
    </row>
    <row r="6" spans="1:1" x14ac:dyDescent="0.2">
      <c r="A6" t="s">
        <v>88</v>
      </c>
    </row>
    <row r="7" spans="1:1" x14ac:dyDescent="0.2">
      <c r="A7" s="2" t="s">
        <v>89</v>
      </c>
    </row>
    <row r="8" spans="1:1" x14ac:dyDescent="0.2">
      <c r="A8" s="2" t="s">
        <v>90</v>
      </c>
    </row>
    <row r="9" spans="1:1" x14ac:dyDescent="0.2">
      <c r="A9" s="2" t="s">
        <v>91</v>
      </c>
    </row>
    <row r="10" spans="1:1" x14ac:dyDescent="0.2">
      <c r="A10" s="2" t="s">
        <v>92</v>
      </c>
    </row>
    <row r="11" spans="1:1" x14ac:dyDescent="0.2">
      <c r="A11" s="2" t="s">
        <v>93</v>
      </c>
    </row>
    <row r="12" spans="1:1" ht="18" customHeight="1" x14ac:dyDescent="0.2">
      <c r="A12" s="2" t="s">
        <v>94</v>
      </c>
    </row>
    <row r="13" spans="1:1" ht="18" customHeight="1" x14ac:dyDescent="0.2">
      <c r="A13" s="2" t="s">
        <v>95</v>
      </c>
    </row>
    <row r="14" spans="1:1" x14ac:dyDescent="0.2">
      <c r="A14" s="2" t="s">
        <v>96</v>
      </c>
    </row>
    <row r="15" spans="1:1" x14ac:dyDescent="0.2">
      <c r="A15" s="2" t="s">
        <v>97</v>
      </c>
    </row>
    <row r="16" spans="1:1" x14ac:dyDescent="0.2">
      <c r="A16" s="2" t="s">
        <v>98</v>
      </c>
    </row>
    <row r="17" spans="1:2" x14ac:dyDescent="0.2">
      <c r="A17" s="2" t="s">
        <v>99</v>
      </c>
    </row>
    <row r="18" spans="1:2" x14ac:dyDescent="0.2">
      <c r="A18" s="2" t="s">
        <v>100</v>
      </c>
    </row>
    <row r="19" spans="1:2" x14ac:dyDescent="0.2">
      <c r="A19" s="2" t="s">
        <v>101</v>
      </c>
    </row>
    <row r="20" spans="1:2" x14ac:dyDescent="0.2">
      <c r="A20" s="2" t="s">
        <v>102</v>
      </c>
    </row>
    <row r="21" spans="1:2" x14ac:dyDescent="0.2">
      <c r="A21" s="2" t="s">
        <v>103</v>
      </c>
    </row>
    <row r="22" spans="1:2" x14ac:dyDescent="0.2">
      <c r="A22" s="2" t="s">
        <v>104</v>
      </c>
    </row>
    <row r="23" spans="1:2" x14ac:dyDescent="0.2">
      <c r="A23" s="2" t="s">
        <v>105</v>
      </c>
    </row>
    <row r="24" spans="1:2" x14ac:dyDescent="0.2">
      <c r="A24" s="2" t="s">
        <v>106</v>
      </c>
    </row>
    <row r="25" spans="1:2" x14ac:dyDescent="0.2">
      <c r="A25" s="5" t="s">
        <v>107</v>
      </c>
      <c r="B25">
        <f>SUM(B7:B24)</f>
        <v>0</v>
      </c>
    </row>
    <row r="27" spans="1:2" x14ac:dyDescent="0.2">
      <c r="A27" s="2" t="s">
        <v>108</v>
      </c>
      <c r="B27">
        <f>B3-B25</f>
        <v>0</v>
      </c>
    </row>
    <row r="29" spans="1:2" x14ac:dyDescent="0.2">
      <c r="A29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2"/>
  <sheetViews>
    <sheetView topLeftCell="A10" workbookViewId="0">
      <selection activeCell="E32" sqref="E32"/>
    </sheetView>
  </sheetViews>
  <sheetFormatPr baseColWidth="10" defaultColWidth="8.83203125" defaultRowHeight="15" x14ac:dyDescent="0.2"/>
  <cols>
    <col min="1" max="1" width="12.33203125" bestFit="1" customWidth="1"/>
    <col min="2" max="2" width="12" bestFit="1" customWidth="1"/>
  </cols>
  <sheetData>
    <row r="1" spans="1:5" x14ac:dyDescent="0.2">
      <c r="B1" s="14" t="s">
        <v>110</v>
      </c>
    </row>
    <row r="2" spans="1:5" x14ac:dyDescent="0.2">
      <c r="A2" t="s">
        <v>111</v>
      </c>
      <c r="B2" t="s">
        <v>112</v>
      </c>
      <c r="C2" t="s">
        <v>113</v>
      </c>
      <c r="D2" t="s">
        <v>114</v>
      </c>
      <c r="E2" t="s">
        <v>115</v>
      </c>
    </row>
    <row r="3" spans="1:5" x14ac:dyDescent="0.2">
      <c r="E3">
        <f>B3-C3+D3</f>
        <v>0</v>
      </c>
    </row>
    <row r="16" spans="1:5" x14ac:dyDescent="0.2">
      <c r="B16" s="14" t="s">
        <v>116</v>
      </c>
    </row>
    <row r="17" spans="1:5" x14ac:dyDescent="0.2">
      <c r="A17" t="s">
        <v>111</v>
      </c>
      <c r="B17" t="s">
        <v>112</v>
      </c>
      <c r="C17" t="s">
        <v>113</v>
      </c>
      <c r="D17" t="s">
        <v>114</v>
      </c>
      <c r="E17" t="s">
        <v>115</v>
      </c>
    </row>
    <row r="18" spans="1:5" x14ac:dyDescent="0.2">
      <c r="E18">
        <f>B18-C18</f>
        <v>0</v>
      </c>
    </row>
    <row r="26" spans="1:5" x14ac:dyDescent="0.2">
      <c r="A26" t="s">
        <v>117</v>
      </c>
      <c r="E26" s="9">
        <f>E18+E3</f>
        <v>0</v>
      </c>
    </row>
    <row r="27" spans="1:5" x14ac:dyDescent="0.2">
      <c r="E27" s="26"/>
    </row>
    <row r="28" spans="1:5" x14ac:dyDescent="0.2">
      <c r="A28" s="29" t="s">
        <v>118</v>
      </c>
      <c r="B28" s="28"/>
      <c r="C28" s="28"/>
    </row>
    <row r="29" spans="1:5" x14ac:dyDescent="0.2">
      <c r="E29" s="26"/>
    </row>
    <row r="31" spans="1:5" x14ac:dyDescent="0.2">
      <c r="E31" s="9">
        <f>SUM(E29:E30)</f>
        <v>0</v>
      </c>
    </row>
    <row r="32" spans="1:5" x14ac:dyDescent="0.2">
      <c r="A32" t="s">
        <v>119</v>
      </c>
      <c r="E32">
        <f>E26+E31</f>
        <v>0</v>
      </c>
    </row>
  </sheetData>
  <mergeCells count="1">
    <mergeCell ref="A28:C28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B23"/>
  <sheetViews>
    <sheetView workbookViewId="0">
      <selection activeCell="E37" sqref="E37"/>
    </sheetView>
  </sheetViews>
  <sheetFormatPr baseColWidth="10" defaultColWidth="8.83203125" defaultRowHeight="15" x14ac:dyDescent="0.2"/>
  <cols>
    <col min="1" max="1" width="19" bestFit="1" customWidth="1"/>
  </cols>
  <sheetData>
    <row r="3" spans="1:1" x14ac:dyDescent="0.2">
      <c r="A3" t="s">
        <v>5</v>
      </c>
    </row>
    <row r="6" spans="1:1" x14ac:dyDescent="0.2">
      <c r="A6" t="s">
        <v>88</v>
      </c>
    </row>
    <row r="7" spans="1:1" x14ac:dyDescent="0.2">
      <c r="A7" s="2" t="s">
        <v>90</v>
      </c>
    </row>
    <row r="8" spans="1:1" x14ac:dyDescent="0.2">
      <c r="A8" s="2" t="s">
        <v>120</v>
      </c>
    </row>
    <row r="9" spans="1:1" x14ac:dyDescent="0.2">
      <c r="A9" s="2" t="s">
        <v>91</v>
      </c>
    </row>
    <row r="10" spans="1:1" x14ac:dyDescent="0.2">
      <c r="A10" s="2" t="s">
        <v>94</v>
      </c>
    </row>
    <row r="11" spans="1:1" x14ac:dyDescent="0.2">
      <c r="A11" s="2" t="s">
        <v>96</v>
      </c>
    </row>
    <row r="12" spans="1:1" x14ac:dyDescent="0.2">
      <c r="A12" s="2" t="s">
        <v>121</v>
      </c>
    </row>
    <row r="13" spans="1:1" x14ac:dyDescent="0.2">
      <c r="A13" s="2" t="s">
        <v>122</v>
      </c>
    </row>
    <row r="14" spans="1:1" x14ac:dyDescent="0.2">
      <c r="A14" s="2" t="s">
        <v>99</v>
      </c>
    </row>
    <row r="15" spans="1:1" x14ac:dyDescent="0.2">
      <c r="A15" s="2" t="s">
        <v>123</v>
      </c>
    </row>
    <row r="16" spans="1:1" x14ac:dyDescent="0.2">
      <c r="A16" s="2" t="s">
        <v>100</v>
      </c>
    </row>
    <row r="17" spans="1:2" x14ac:dyDescent="0.2">
      <c r="A17" s="2" t="s">
        <v>124</v>
      </c>
    </row>
    <row r="18" spans="1:2" x14ac:dyDescent="0.2">
      <c r="A18" s="2" t="s">
        <v>104</v>
      </c>
    </row>
    <row r="19" spans="1:2" x14ac:dyDescent="0.2">
      <c r="A19" s="2" t="s">
        <v>93</v>
      </c>
    </row>
    <row r="20" spans="1:2" x14ac:dyDescent="0.2">
      <c r="A20" s="2" t="s">
        <v>105</v>
      </c>
    </row>
    <row r="21" spans="1:2" x14ac:dyDescent="0.2">
      <c r="A21" s="5" t="s">
        <v>107</v>
      </c>
      <c r="B21">
        <f>SUM(B7:B20)</f>
        <v>0</v>
      </c>
    </row>
    <row r="23" spans="1:2" x14ac:dyDescent="0.2">
      <c r="A23" s="2" t="s">
        <v>108</v>
      </c>
      <c r="B23">
        <f>B3-B21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H34" sqref="H34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1040</vt:lpstr>
      <vt:lpstr>Sch 1 A Ded</vt:lpstr>
      <vt:lpstr>SCH C</vt:lpstr>
      <vt:lpstr>SCH D</vt:lpstr>
      <vt:lpstr>SCH E</vt:lpstr>
      <vt:lpstr>SCH 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 Smith</dc:creator>
  <cp:lastModifiedBy>Susan  Smith</cp:lastModifiedBy>
  <dcterms:created xsi:type="dcterms:W3CDTF">2025-01-13T19:35:57Z</dcterms:created>
  <dcterms:modified xsi:type="dcterms:W3CDTF">2026-06-02T00:54:43Z</dcterms:modified>
</cp:coreProperties>
</file>